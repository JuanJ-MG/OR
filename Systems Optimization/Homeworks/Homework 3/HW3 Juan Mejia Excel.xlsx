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2024 Fall/Systems Optimization/Homeworks/Homework 3/"/>
    </mc:Choice>
  </mc:AlternateContent>
  <xr:revisionPtr revIDLastSave="1804" documentId="8_{A88C276A-D576-A347-81DA-B4F0981E4F83}" xr6:coauthVersionLast="47" xr6:coauthVersionMax="47" xr10:uidLastSave="{55480AF9-C084-4F45-A03D-A06FA98AC383}"/>
  <bookViews>
    <workbookView xWindow="29400" yWindow="0" windowWidth="23600" windowHeight="16400" activeTab="2" xr2:uid="{3D7334A7-A387-1745-B2EC-EF175D99EEFA}"/>
  </bookViews>
  <sheets>
    <sheet name="Exercise 1" sheetId="2" r:id="rId1"/>
    <sheet name="Exercise 2 Big M" sheetId="3" r:id="rId2"/>
    <sheet name="Exercise 2 Two Phas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E19" i="3"/>
  <c r="K19" i="3"/>
  <c r="K11" i="3"/>
  <c r="C11" i="3"/>
  <c r="D11" i="3"/>
  <c r="E11" i="3"/>
  <c r="F11" i="3"/>
  <c r="G11" i="3"/>
  <c r="H11" i="3"/>
  <c r="I11" i="3"/>
  <c r="J11" i="3"/>
  <c r="L11" i="3"/>
  <c r="M33" i="4" l="1"/>
  <c r="J35" i="4"/>
  <c r="K35" i="4"/>
  <c r="C34" i="4"/>
  <c r="E34" i="4"/>
  <c r="F34" i="4"/>
  <c r="G34" i="4"/>
  <c r="H34" i="4"/>
  <c r="I34" i="4"/>
  <c r="J34" i="4"/>
  <c r="K34" i="4"/>
  <c r="L34" i="4"/>
  <c r="D34" i="4"/>
  <c r="C28" i="4"/>
  <c r="D28" i="4"/>
  <c r="D35" i="4" s="1"/>
  <c r="F28" i="4"/>
  <c r="G28" i="4"/>
  <c r="H28" i="4"/>
  <c r="H35" i="4" s="1"/>
  <c r="I28" i="4"/>
  <c r="I35" i="4" s="1"/>
  <c r="J28" i="4"/>
  <c r="K28" i="4"/>
  <c r="L28" i="4"/>
  <c r="E28" i="4"/>
  <c r="E35" i="4" s="1"/>
  <c r="C25" i="4"/>
  <c r="D25" i="4"/>
  <c r="F25" i="4"/>
  <c r="F32" i="4" s="1"/>
  <c r="G25" i="4"/>
  <c r="G32" i="4" s="1"/>
  <c r="H25" i="4"/>
  <c r="I25" i="4"/>
  <c r="J25" i="4"/>
  <c r="K25" i="4"/>
  <c r="L25" i="4"/>
  <c r="E25" i="4"/>
  <c r="C26" i="4"/>
  <c r="C32" i="4" s="1"/>
  <c r="D26" i="4"/>
  <c r="D32" i="4" s="1"/>
  <c r="F26" i="4"/>
  <c r="G26" i="4"/>
  <c r="H26" i="4"/>
  <c r="I26" i="4"/>
  <c r="J26" i="4"/>
  <c r="K26" i="4"/>
  <c r="L26" i="4"/>
  <c r="L32" i="4" s="1"/>
  <c r="E26" i="4"/>
  <c r="E32" i="4" s="1"/>
  <c r="M37" i="3"/>
  <c r="M38" i="3"/>
  <c r="M30" i="3"/>
  <c r="C28" i="3"/>
  <c r="D28" i="3"/>
  <c r="D36" i="3" s="1"/>
  <c r="F28" i="3"/>
  <c r="F36" i="3" s="1"/>
  <c r="G28" i="3"/>
  <c r="H28" i="3"/>
  <c r="I28" i="3"/>
  <c r="J28" i="3"/>
  <c r="K28" i="3"/>
  <c r="K36" i="3" s="1"/>
  <c r="L28" i="3"/>
  <c r="E28" i="3"/>
  <c r="E36" i="3" s="1"/>
  <c r="C31" i="3"/>
  <c r="D31" i="3"/>
  <c r="D39" i="3" s="1"/>
  <c r="F31" i="3"/>
  <c r="G31" i="3"/>
  <c r="H31" i="3"/>
  <c r="H39" i="3" s="1"/>
  <c r="I31" i="3"/>
  <c r="I39" i="3" s="1"/>
  <c r="J31" i="3"/>
  <c r="K31" i="3"/>
  <c r="L31" i="3"/>
  <c r="E31" i="3"/>
  <c r="E39" i="3" s="1"/>
  <c r="C29" i="3"/>
  <c r="D29" i="3"/>
  <c r="F29" i="3"/>
  <c r="G29" i="3"/>
  <c r="H29" i="3"/>
  <c r="I29" i="3"/>
  <c r="J29" i="3"/>
  <c r="K29" i="3"/>
  <c r="L29" i="3"/>
  <c r="M29" i="3" s="1"/>
  <c r="E29" i="3"/>
  <c r="M21" i="3"/>
  <c r="M22" i="3"/>
  <c r="M23" i="3"/>
  <c r="M20" i="3"/>
  <c r="I42" i="4" l="1"/>
  <c r="K42" i="4"/>
  <c r="D39" i="4"/>
  <c r="D40" i="4" s="1"/>
  <c r="M32" i="4"/>
  <c r="F39" i="4"/>
  <c r="F40" i="4" s="1"/>
  <c r="I19" i="3"/>
  <c r="I27" i="3" s="1"/>
  <c r="G36" i="3"/>
  <c r="G43" i="3" s="1"/>
  <c r="C39" i="3"/>
  <c r="E43" i="3"/>
  <c r="E45" i="3" s="1"/>
  <c r="I46" i="3"/>
  <c r="H19" i="3"/>
  <c r="L39" i="3"/>
  <c r="F43" i="3"/>
  <c r="F45" i="3" s="1"/>
  <c r="K39" i="3"/>
  <c r="D43" i="3"/>
  <c r="D45" i="3" s="1"/>
  <c r="H32" i="4"/>
  <c r="G35" i="4"/>
  <c r="G19" i="3"/>
  <c r="G27" i="3" s="1"/>
  <c r="J39" i="3"/>
  <c r="M28" i="3"/>
  <c r="C36" i="3"/>
  <c r="F35" i="4"/>
  <c r="K43" i="3"/>
  <c r="K45" i="3" s="1"/>
  <c r="E27" i="3"/>
  <c r="J36" i="3"/>
  <c r="J43" i="3" s="1"/>
  <c r="J44" i="3" s="1"/>
  <c r="L35" i="4"/>
  <c r="C35" i="4"/>
  <c r="M34" i="4"/>
  <c r="J19" i="3"/>
  <c r="J27" i="3" s="1"/>
  <c r="D19" i="3"/>
  <c r="D27" i="3" s="1"/>
  <c r="G39" i="3"/>
  <c r="I36" i="3"/>
  <c r="I43" i="3" s="1"/>
  <c r="I45" i="3" s="1"/>
  <c r="L19" i="3"/>
  <c r="L27" i="3" s="1"/>
  <c r="C19" i="3"/>
  <c r="F39" i="3"/>
  <c r="H36" i="3"/>
  <c r="H43" i="3" s="1"/>
  <c r="H46" i="3" s="1"/>
  <c r="H45" i="3"/>
  <c r="H44" i="3"/>
  <c r="M39" i="3"/>
  <c r="F44" i="3"/>
  <c r="K44" i="3"/>
  <c r="C27" i="3"/>
  <c r="K27" i="3"/>
  <c r="E46" i="3"/>
  <c r="D46" i="3"/>
  <c r="M31" i="3"/>
  <c r="L36" i="3"/>
  <c r="K32" i="4"/>
  <c r="K39" i="4" s="1"/>
  <c r="K40" i="4" s="1"/>
  <c r="J32" i="4"/>
  <c r="J39" i="4" s="1"/>
  <c r="I32" i="4"/>
  <c r="I39" i="4" s="1"/>
  <c r="M27" i="4"/>
  <c r="M19" i="4"/>
  <c r="M20" i="4"/>
  <c r="M21" i="4"/>
  <c r="M18" i="4"/>
  <c r="K10" i="4"/>
  <c r="K17" i="4" s="1"/>
  <c r="C10" i="4"/>
  <c r="C17" i="4" s="1"/>
  <c r="D10" i="4"/>
  <c r="E10" i="4"/>
  <c r="F10" i="4"/>
  <c r="G10" i="4"/>
  <c r="H10" i="4"/>
  <c r="I10" i="4"/>
  <c r="L10" i="4"/>
  <c r="L17" i="4" s="1"/>
  <c r="J10" i="4"/>
  <c r="J17" i="4" s="1"/>
  <c r="C12" i="2"/>
  <c r="D12" i="2"/>
  <c r="E12" i="2"/>
  <c r="F12" i="2"/>
  <c r="G12" i="2"/>
  <c r="H12" i="2"/>
  <c r="I12" i="2"/>
  <c r="J12" i="2"/>
  <c r="C13" i="2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F27" i="3" l="1"/>
  <c r="D35" i="3"/>
  <c r="E35" i="3"/>
  <c r="J35" i="3"/>
  <c r="G35" i="3"/>
  <c r="L35" i="3"/>
  <c r="F35" i="3"/>
  <c r="I40" i="4"/>
  <c r="I41" i="4"/>
  <c r="I35" i="3"/>
  <c r="H39" i="4"/>
  <c r="C39" i="4"/>
  <c r="L39" i="4"/>
  <c r="K41" i="4"/>
  <c r="C46" i="3"/>
  <c r="G39" i="4"/>
  <c r="F41" i="4"/>
  <c r="M35" i="4"/>
  <c r="C35" i="3"/>
  <c r="F46" i="3"/>
  <c r="K46" i="3"/>
  <c r="E39" i="4"/>
  <c r="D42" i="4"/>
  <c r="J45" i="3"/>
  <c r="J40" i="4"/>
  <c r="J41" i="4"/>
  <c r="K35" i="3"/>
  <c r="D44" i="3"/>
  <c r="I44" i="3"/>
  <c r="E44" i="3"/>
  <c r="J42" i="4"/>
  <c r="F42" i="4"/>
  <c r="C43" i="3"/>
  <c r="C42" i="4"/>
  <c r="J46" i="3"/>
  <c r="H27" i="3"/>
  <c r="H35" i="3" s="1"/>
  <c r="H42" i="3" s="1"/>
  <c r="D41" i="4"/>
  <c r="L43" i="3"/>
  <c r="M36" i="3"/>
  <c r="G44" i="3"/>
  <c r="G45" i="3"/>
  <c r="G46" i="3"/>
  <c r="L24" i="4"/>
  <c r="K24" i="4"/>
  <c r="I17" i="4"/>
  <c r="I24" i="4" s="1"/>
  <c r="H17" i="4"/>
  <c r="H24" i="4" s="1"/>
  <c r="G17" i="4"/>
  <c r="F17" i="4"/>
  <c r="E17" i="4"/>
  <c r="E24" i="4" s="1"/>
  <c r="D17" i="4"/>
  <c r="D24" i="4" s="1"/>
  <c r="D31" i="4" s="1"/>
  <c r="M28" i="4"/>
  <c r="M25" i="4"/>
  <c r="M26" i="4"/>
  <c r="K23" i="2"/>
  <c r="K24" i="2"/>
  <c r="E20" i="2"/>
  <c r="F20" i="2"/>
  <c r="C21" i="2"/>
  <c r="J21" i="2"/>
  <c r="I21" i="2"/>
  <c r="E21" i="2"/>
  <c r="D21" i="2"/>
  <c r="E22" i="2"/>
  <c r="G40" i="4" l="1"/>
  <c r="G41" i="4"/>
  <c r="E41" i="4"/>
  <c r="E40" i="4"/>
  <c r="E42" i="4"/>
  <c r="I31" i="4"/>
  <c r="I38" i="4" s="1"/>
  <c r="D38" i="4"/>
  <c r="K31" i="4"/>
  <c r="K38" i="4" s="1"/>
  <c r="L40" i="4"/>
  <c r="L41" i="4"/>
  <c r="H31" i="4"/>
  <c r="H38" i="4" s="1"/>
  <c r="C40" i="4"/>
  <c r="C41" i="4"/>
  <c r="F24" i="4"/>
  <c r="F31" i="4" s="1"/>
  <c r="F38" i="4" s="1"/>
  <c r="C44" i="3"/>
  <c r="C45" i="3"/>
  <c r="L42" i="4"/>
  <c r="H40" i="4"/>
  <c r="H42" i="4"/>
  <c r="H41" i="4"/>
  <c r="G24" i="4"/>
  <c r="G31" i="4" s="1"/>
  <c r="G38" i="4" s="1"/>
  <c r="G42" i="4"/>
  <c r="L45" i="3"/>
  <c r="L44" i="3"/>
  <c r="L46" i="3"/>
  <c r="G42" i="3"/>
  <c r="C42" i="3"/>
  <c r="D42" i="3"/>
  <c r="F42" i="3"/>
  <c r="K42" i="3"/>
  <c r="I42" i="3"/>
  <c r="L42" i="3"/>
  <c r="J42" i="3"/>
  <c r="E42" i="3"/>
  <c r="L31" i="4"/>
  <c r="L38" i="4" s="1"/>
  <c r="E31" i="4"/>
  <c r="E38" i="4" s="1"/>
  <c r="C24" i="4"/>
  <c r="C31" i="4" s="1"/>
  <c r="C38" i="4" s="1"/>
  <c r="J24" i="4"/>
  <c r="J31" i="4" s="1"/>
  <c r="J38" i="4" s="1"/>
  <c r="H22" i="2"/>
  <c r="H30" i="2" s="1"/>
  <c r="H32" i="2" s="1"/>
  <c r="F21" i="2"/>
  <c r="I20" i="2"/>
  <c r="G22" i="2"/>
  <c r="G21" i="2"/>
  <c r="H20" i="2"/>
  <c r="F22" i="2"/>
  <c r="H21" i="2"/>
  <c r="G20" i="2"/>
  <c r="K21" i="2"/>
  <c r="C20" i="2"/>
  <c r="J22" i="2"/>
  <c r="C22" i="2"/>
  <c r="D20" i="2"/>
  <c r="I22" i="2"/>
  <c r="I30" i="2" s="1"/>
  <c r="I32" i="2" s="1"/>
  <c r="J20" i="2"/>
  <c r="D22" i="2"/>
  <c r="D30" i="2" s="1"/>
  <c r="D32" i="2" s="1"/>
  <c r="I28" i="2" l="1"/>
  <c r="J30" i="2"/>
  <c r="J32" i="2" s="1"/>
  <c r="G30" i="2"/>
  <c r="G32" i="2" s="1"/>
  <c r="I29" i="2"/>
  <c r="J29" i="2"/>
  <c r="G28" i="2"/>
  <c r="J28" i="2"/>
  <c r="H29" i="2"/>
  <c r="F30" i="2"/>
  <c r="D29" i="2"/>
  <c r="D28" i="2"/>
  <c r="H28" i="2"/>
  <c r="E30" i="2"/>
  <c r="C30" i="2"/>
  <c r="G29" i="2"/>
  <c r="E28" i="2"/>
  <c r="K22" i="2"/>
  <c r="F32" i="2" l="1"/>
  <c r="F28" i="2"/>
  <c r="C32" i="2"/>
  <c r="C29" i="2"/>
  <c r="E32" i="2"/>
  <c r="E29" i="2"/>
  <c r="F29" i="2"/>
  <c r="C28" i="2"/>
</calcChain>
</file>

<file path=xl/sharedStrings.xml><?xml version="1.0" encoding="utf-8"?>
<sst xmlns="http://schemas.openxmlformats.org/spreadsheetml/2006/main" count="271" uniqueCount="19">
  <si>
    <t>s1</t>
  </si>
  <si>
    <t>s2</t>
  </si>
  <si>
    <t>s3</t>
  </si>
  <si>
    <t>s4</t>
  </si>
  <si>
    <t>Basic</t>
  </si>
  <si>
    <t>z</t>
  </si>
  <si>
    <t>Solution</t>
  </si>
  <si>
    <t>xr</t>
  </si>
  <si>
    <t>xb</t>
  </si>
  <si>
    <t>xr=2</t>
  </si>
  <si>
    <t>xb=2</t>
  </si>
  <si>
    <t>make xr identity</t>
  </si>
  <si>
    <t>make s4 basic</t>
  </si>
  <si>
    <t>make xb identiy</t>
  </si>
  <si>
    <t>xa</t>
  </si>
  <si>
    <t>r1</t>
  </si>
  <si>
    <t>r3</t>
  </si>
  <si>
    <t>Second Phase</t>
  </si>
  <si>
    <t>Min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</si>
</sst>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2" borderId="0" xfId="0" applyFill="1"/>
    <xf numFmtId="0" fontId="0" fillId="2" borderId="1" xfId="0" applyFill="1" applyBorder="1"/>
    <xf numFmtId="0" fontId="0" fillId="0" borderId="11" xfId="0" applyBorder="1"/>
    <xf numFmtId="0" fontId="0" fillId="0" borderId="12" xfId="0" applyBorder="1"/>
    <xf numFmtId="0" fontId="0" fillId="2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/>
    <xf numFmtId="0" fontId="0" fillId="0" borderId="17" xfId="0" applyBorder="1"/>
    <xf numFmtId="0" fontId="0" fillId="2" borderId="17" xfId="0" applyFill="1" applyBorder="1"/>
    <xf numFmtId="0" fontId="0" fillId="0" borderId="18" xfId="0" applyBorder="1"/>
    <xf numFmtId="0" fontId="0" fillId="3" borderId="15" xfId="0" applyFill="1" applyBorder="1"/>
    <xf numFmtId="0" fontId="0" fillId="0" borderId="19" xfId="0" applyBorder="1"/>
    <xf numFmtId="0" fontId="0" fillId="4" borderId="12" xfId="0" applyFill="1" applyBorder="1"/>
    <xf numFmtId="0" fontId="0" fillId="4" borderId="0" xfId="0" applyFill="1"/>
    <xf numFmtId="0" fontId="0" fillId="4" borderId="19" xfId="0" applyFill="1" applyBorder="1"/>
    <xf numFmtId="0" fontId="0" fillId="4" borderId="1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7" xfId="0" applyFill="1" applyBorder="1"/>
    <xf numFmtId="0" fontId="1" fillId="0" borderId="11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5" xfId="0" applyFont="1" applyBorder="1"/>
    <xf numFmtId="0" fontId="1" fillId="2" borderId="23" xfId="0" applyFont="1" applyFill="1" applyBorder="1"/>
    <xf numFmtId="0" fontId="1" fillId="2" borderId="26" xfId="0" applyFont="1" applyFill="1" applyBorder="1"/>
    <xf numFmtId="0" fontId="0" fillId="0" borderId="27" xfId="0" applyBorder="1"/>
    <xf numFmtId="0" fontId="1" fillId="0" borderId="0" xfId="0" applyFont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759F-A32C-0047-B0D3-D0279201CA9A}">
  <dimension ref="B1:K35"/>
  <sheetViews>
    <sheetView workbookViewId="0">
      <selection activeCell="E39" sqref="E39"/>
    </sheetView>
  </sheetViews>
  <sheetFormatPr baseColWidth="10" defaultRowHeight="16" x14ac:dyDescent="0.2"/>
  <sheetData>
    <row r="1" spans="2:10" ht="17" thickBot="1" x14ac:dyDescent="0.25"/>
    <row r="2" spans="2:10" ht="17" thickBot="1" x14ac:dyDescent="0.25">
      <c r="B2" s="3" t="s">
        <v>9</v>
      </c>
      <c r="C2" s="5" t="s">
        <v>10</v>
      </c>
    </row>
    <row r="3" spans="2:10" x14ac:dyDescent="0.2">
      <c r="B3" s="9" t="s">
        <v>4</v>
      </c>
      <c r="C3" s="10" t="s">
        <v>5</v>
      </c>
      <c r="D3" s="10" t="s">
        <v>7</v>
      </c>
      <c r="E3" s="10" t="s">
        <v>8</v>
      </c>
      <c r="F3" s="10" t="s">
        <v>0</v>
      </c>
      <c r="G3" s="10" t="s">
        <v>1</v>
      </c>
      <c r="H3" s="10" t="s">
        <v>2</v>
      </c>
      <c r="I3" s="10" t="s">
        <v>3</v>
      </c>
      <c r="J3" s="12" t="s">
        <v>6</v>
      </c>
    </row>
    <row r="4" spans="2:10" x14ac:dyDescent="0.2">
      <c r="B4" s="13" t="s">
        <v>5</v>
      </c>
      <c r="C4" s="1">
        <v>1</v>
      </c>
      <c r="D4" s="1">
        <v>-10</v>
      </c>
      <c r="E4" s="1">
        <v>-12</v>
      </c>
      <c r="F4" s="1">
        <v>0</v>
      </c>
      <c r="G4" s="1">
        <v>0</v>
      </c>
      <c r="H4" s="1">
        <v>0</v>
      </c>
      <c r="I4" s="1">
        <v>0</v>
      </c>
      <c r="J4" s="14">
        <v>0</v>
      </c>
    </row>
    <row r="5" spans="2:10" x14ac:dyDescent="0.2">
      <c r="B5" s="13" t="s">
        <v>0</v>
      </c>
      <c r="C5" s="1">
        <v>0</v>
      </c>
      <c r="D5" s="1">
        <v>1</v>
      </c>
      <c r="E5" s="1">
        <v>2</v>
      </c>
      <c r="F5" s="1">
        <v>1</v>
      </c>
      <c r="G5" s="1">
        <v>0</v>
      </c>
      <c r="H5" s="1">
        <v>0</v>
      </c>
      <c r="I5" s="1">
        <v>0</v>
      </c>
      <c r="J5" s="14">
        <v>25</v>
      </c>
    </row>
    <row r="6" spans="2:10" x14ac:dyDescent="0.2">
      <c r="B6" s="13" t="s">
        <v>1</v>
      </c>
      <c r="C6" s="1">
        <v>0</v>
      </c>
      <c r="D6" s="1">
        <v>2</v>
      </c>
      <c r="E6" s="1">
        <v>2</v>
      </c>
      <c r="F6" s="1">
        <v>0</v>
      </c>
      <c r="G6" s="1">
        <v>1</v>
      </c>
      <c r="H6" s="1">
        <v>0</v>
      </c>
      <c r="I6" s="1">
        <v>0</v>
      </c>
      <c r="J6" s="14">
        <v>20</v>
      </c>
    </row>
    <row r="7" spans="2:10" x14ac:dyDescent="0.2">
      <c r="B7" s="13" t="s">
        <v>7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-1</v>
      </c>
      <c r="I7" s="1">
        <v>0</v>
      </c>
      <c r="J7" s="14">
        <v>2</v>
      </c>
    </row>
    <row r="8" spans="2:10" ht="17" thickBot="1" x14ac:dyDescent="0.25">
      <c r="B8" s="17" t="s">
        <v>8</v>
      </c>
      <c r="C8" s="18">
        <v>0</v>
      </c>
      <c r="D8" s="18">
        <v>0</v>
      </c>
      <c r="E8" s="18">
        <v>1</v>
      </c>
      <c r="F8" s="18">
        <v>0</v>
      </c>
      <c r="G8" s="18">
        <v>0</v>
      </c>
      <c r="H8" s="18">
        <v>0</v>
      </c>
      <c r="I8" s="18">
        <v>-1</v>
      </c>
      <c r="J8" s="20">
        <v>2</v>
      </c>
    </row>
    <row r="10" spans="2:10" ht="17" thickBot="1" x14ac:dyDescent="0.25">
      <c r="B10" s="6" t="s">
        <v>11</v>
      </c>
    </row>
    <row r="11" spans="2:10" x14ac:dyDescent="0.2">
      <c r="B11" s="9" t="s">
        <v>4</v>
      </c>
      <c r="C11" s="10" t="s">
        <v>5</v>
      </c>
      <c r="D11" s="10" t="s">
        <v>7</v>
      </c>
      <c r="E11" s="10" t="s">
        <v>8</v>
      </c>
      <c r="F11" s="10" t="s">
        <v>0</v>
      </c>
      <c r="G11" s="10" t="s">
        <v>1</v>
      </c>
      <c r="H11" s="10" t="s">
        <v>2</v>
      </c>
      <c r="I11" s="10" t="s">
        <v>3</v>
      </c>
      <c r="J11" s="12" t="s">
        <v>6</v>
      </c>
    </row>
    <row r="12" spans="2:10" x14ac:dyDescent="0.2">
      <c r="B12" s="13" t="s">
        <v>5</v>
      </c>
      <c r="C12" s="1">
        <f t="shared" ref="C12:J12" si="0">C4-C15*$D$4</f>
        <v>1</v>
      </c>
      <c r="D12" s="1">
        <f t="shared" si="0"/>
        <v>0</v>
      </c>
      <c r="E12" s="1">
        <f t="shared" si="0"/>
        <v>-12</v>
      </c>
      <c r="F12" s="1">
        <f t="shared" si="0"/>
        <v>0</v>
      </c>
      <c r="G12" s="1">
        <f t="shared" si="0"/>
        <v>0</v>
      </c>
      <c r="H12" s="1">
        <f t="shared" si="0"/>
        <v>-10</v>
      </c>
      <c r="I12" s="1">
        <f t="shared" si="0"/>
        <v>0</v>
      </c>
      <c r="J12" s="14">
        <f t="shared" si="0"/>
        <v>20</v>
      </c>
    </row>
    <row r="13" spans="2:10" x14ac:dyDescent="0.2">
      <c r="B13" s="13" t="s">
        <v>0</v>
      </c>
      <c r="C13" s="1">
        <f t="shared" ref="C13:J13" si="1">C5-C15*$D$5</f>
        <v>0</v>
      </c>
      <c r="D13" s="1">
        <f t="shared" si="1"/>
        <v>0</v>
      </c>
      <c r="E13" s="1">
        <f t="shared" si="1"/>
        <v>2</v>
      </c>
      <c r="F13" s="1">
        <f t="shared" si="1"/>
        <v>1</v>
      </c>
      <c r="G13" s="1">
        <f t="shared" si="1"/>
        <v>0</v>
      </c>
      <c r="H13" s="1">
        <f t="shared" si="1"/>
        <v>1</v>
      </c>
      <c r="I13" s="1">
        <f t="shared" si="1"/>
        <v>0</v>
      </c>
      <c r="J13" s="14">
        <f t="shared" si="1"/>
        <v>23</v>
      </c>
    </row>
    <row r="14" spans="2:10" x14ac:dyDescent="0.2">
      <c r="B14" s="13" t="s">
        <v>1</v>
      </c>
      <c r="C14" s="1">
        <f t="shared" ref="C14:J14" si="2">C6-C15*$D$6</f>
        <v>0</v>
      </c>
      <c r="D14" s="1">
        <f t="shared" si="2"/>
        <v>0</v>
      </c>
      <c r="E14" s="1">
        <f t="shared" si="2"/>
        <v>2</v>
      </c>
      <c r="F14" s="1">
        <f t="shared" si="2"/>
        <v>0</v>
      </c>
      <c r="G14" s="1">
        <f t="shared" si="2"/>
        <v>1</v>
      </c>
      <c r="H14" s="1">
        <f t="shared" si="2"/>
        <v>2</v>
      </c>
      <c r="I14" s="1">
        <f t="shared" si="2"/>
        <v>0</v>
      </c>
      <c r="J14" s="14">
        <f t="shared" si="2"/>
        <v>16</v>
      </c>
    </row>
    <row r="15" spans="2:10" x14ac:dyDescent="0.2">
      <c r="B15" s="13" t="s">
        <v>7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-1</v>
      </c>
      <c r="I15" s="1">
        <v>0</v>
      </c>
      <c r="J15" s="14">
        <v>2</v>
      </c>
    </row>
    <row r="16" spans="2:10" ht="17" thickBot="1" x14ac:dyDescent="0.25">
      <c r="B16" s="17" t="s">
        <v>8</v>
      </c>
      <c r="C16" s="18">
        <v>0</v>
      </c>
      <c r="D16" s="18">
        <v>0</v>
      </c>
      <c r="E16" s="18">
        <v>1</v>
      </c>
      <c r="F16" s="18">
        <v>0</v>
      </c>
      <c r="G16" s="18">
        <v>0</v>
      </c>
      <c r="H16" s="18">
        <v>0</v>
      </c>
      <c r="I16" s="18">
        <v>-1</v>
      </c>
      <c r="J16" s="20">
        <v>2</v>
      </c>
    </row>
    <row r="18" spans="2:11" ht="17" thickBot="1" x14ac:dyDescent="0.25">
      <c r="B18" s="6" t="s">
        <v>13</v>
      </c>
    </row>
    <row r="19" spans="2:11" ht="17" thickBot="1" x14ac:dyDescent="0.25">
      <c r="B19" s="2" t="s">
        <v>4</v>
      </c>
      <c r="C19" s="3" t="s">
        <v>5</v>
      </c>
      <c r="D19" s="4" t="s">
        <v>7</v>
      </c>
      <c r="E19" s="4" t="s">
        <v>8</v>
      </c>
      <c r="F19" s="4" t="s">
        <v>0</v>
      </c>
      <c r="G19" s="4" t="s">
        <v>1</v>
      </c>
      <c r="H19" s="4" t="s">
        <v>2</v>
      </c>
      <c r="I19" s="5" t="s">
        <v>3</v>
      </c>
      <c r="J19" s="2" t="s">
        <v>6</v>
      </c>
      <c r="K19" t="s">
        <v>18</v>
      </c>
    </row>
    <row r="20" spans="2:11" x14ac:dyDescent="0.2">
      <c r="B20" s="9" t="s">
        <v>5</v>
      </c>
      <c r="C20" s="10">
        <f t="shared" ref="C20:J20" si="3">C12-C24*$E$12</f>
        <v>1</v>
      </c>
      <c r="D20" s="10">
        <f t="shared" si="3"/>
        <v>0</v>
      </c>
      <c r="E20" s="10">
        <f t="shared" si="3"/>
        <v>0</v>
      </c>
      <c r="F20" s="10">
        <f t="shared" si="3"/>
        <v>0</v>
      </c>
      <c r="G20" s="10">
        <f t="shared" si="3"/>
        <v>0</v>
      </c>
      <c r="H20" s="10">
        <f t="shared" si="3"/>
        <v>-10</v>
      </c>
      <c r="I20" s="11">
        <f t="shared" si="3"/>
        <v>-12</v>
      </c>
      <c r="J20" s="12">
        <f t="shared" si="3"/>
        <v>44</v>
      </c>
    </row>
    <row r="21" spans="2:11" x14ac:dyDescent="0.2">
      <c r="B21" s="13" t="s">
        <v>0</v>
      </c>
      <c r="C21" s="1">
        <f t="shared" ref="C21:J21" si="4">C13-C24*$E$13</f>
        <v>0</v>
      </c>
      <c r="D21" s="1">
        <f t="shared" si="4"/>
        <v>0</v>
      </c>
      <c r="E21" s="1">
        <f t="shared" si="4"/>
        <v>0</v>
      </c>
      <c r="F21" s="1">
        <f t="shared" si="4"/>
        <v>1</v>
      </c>
      <c r="G21" s="1">
        <f t="shared" si="4"/>
        <v>0</v>
      </c>
      <c r="H21" s="1">
        <f t="shared" si="4"/>
        <v>1</v>
      </c>
      <c r="I21" s="8">
        <f t="shared" si="4"/>
        <v>2</v>
      </c>
      <c r="J21" s="14">
        <f t="shared" si="4"/>
        <v>19</v>
      </c>
      <c r="K21">
        <f>J21/I21</f>
        <v>9.5</v>
      </c>
    </row>
    <row r="22" spans="2:11" x14ac:dyDescent="0.2">
      <c r="B22" s="15" t="s">
        <v>1</v>
      </c>
      <c r="C22" s="8">
        <f t="shared" ref="C22:J22" si="5">C14-C24*$E$14</f>
        <v>0</v>
      </c>
      <c r="D22" s="8">
        <f t="shared" si="5"/>
        <v>0</v>
      </c>
      <c r="E22" s="8">
        <f t="shared" si="5"/>
        <v>0</v>
      </c>
      <c r="F22" s="8">
        <f t="shared" si="5"/>
        <v>0</v>
      </c>
      <c r="G22" s="8">
        <f t="shared" si="5"/>
        <v>1</v>
      </c>
      <c r="H22" s="8">
        <f t="shared" si="5"/>
        <v>2</v>
      </c>
      <c r="I22" s="8">
        <f t="shared" si="5"/>
        <v>2</v>
      </c>
      <c r="J22" s="16">
        <f t="shared" si="5"/>
        <v>12</v>
      </c>
      <c r="K22" s="7">
        <f>J22/I22</f>
        <v>6</v>
      </c>
    </row>
    <row r="23" spans="2:11" x14ac:dyDescent="0.2">
      <c r="B23" s="13" t="s">
        <v>7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-1</v>
      </c>
      <c r="I23" s="8">
        <v>0</v>
      </c>
      <c r="J23" s="14">
        <v>2</v>
      </c>
      <c r="K23" t="e">
        <f>J23/I23</f>
        <v>#DIV/0!</v>
      </c>
    </row>
    <row r="24" spans="2:11" ht="17" thickBot="1" x14ac:dyDescent="0.25">
      <c r="B24" s="17" t="s">
        <v>8</v>
      </c>
      <c r="C24" s="18">
        <v>0</v>
      </c>
      <c r="D24" s="18">
        <v>0</v>
      </c>
      <c r="E24" s="18">
        <v>1</v>
      </c>
      <c r="F24" s="18">
        <v>0</v>
      </c>
      <c r="G24" s="18">
        <v>0</v>
      </c>
      <c r="H24" s="18">
        <v>0</v>
      </c>
      <c r="I24" s="19">
        <v>-1</v>
      </c>
      <c r="J24" s="20">
        <v>2</v>
      </c>
      <c r="K24">
        <f>J24/I24</f>
        <v>-2</v>
      </c>
    </row>
    <row r="26" spans="2:11" ht="17" thickBot="1" x14ac:dyDescent="0.25">
      <c r="B26" t="s">
        <v>12</v>
      </c>
    </row>
    <row r="27" spans="2:11" x14ac:dyDescent="0.2">
      <c r="B27" s="9" t="s">
        <v>4</v>
      </c>
      <c r="C27" s="10" t="s">
        <v>5</v>
      </c>
      <c r="D27" s="10" t="s">
        <v>7</v>
      </c>
      <c r="E27" s="10" t="s">
        <v>8</v>
      </c>
      <c r="F27" s="10" t="s">
        <v>0</v>
      </c>
      <c r="G27" s="10" t="s">
        <v>1</v>
      </c>
      <c r="H27" s="10" t="s">
        <v>2</v>
      </c>
      <c r="I27" s="10" t="s">
        <v>3</v>
      </c>
      <c r="J27" s="12" t="s">
        <v>6</v>
      </c>
    </row>
    <row r="28" spans="2:11" x14ac:dyDescent="0.2">
      <c r="B28" s="13" t="s">
        <v>5</v>
      </c>
      <c r="C28" s="1">
        <f t="shared" ref="C28:J28" si="6">C20-$I$20*C30</f>
        <v>1</v>
      </c>
      <c r="D28" s="1">
        <f t="shared" si="6"/>
        <v>0</v>
      </c>
      <c r="E28" s="1">
        <f t="shared" si="6"/>
        <v>0</v>
      </c>
      <c r="F28" s="1">
        <f t="shared" si="6"/>
        <v>0</v>
      </c>
      <c r="G28" s="1">
        <f t="shared" si="6"/>
        <v>6</v>
      </c>
      <c r="H28" s="1">
        <f t="shared" si="6"/>
        <v>2</v>
      </c>
      <c r="I28" s="1">
        <f t="shared" si="6"/>
        <v>0</v>
      </c>
      <c r="J28" s="21">
        <f t="shared" si="6"/>
        <v>116</v>
      </c>
    </row>
    <row r="29" spans="2:11" x14ac:dyDescent="0.2">
      <c r="B29" s="13" t="s">
        <v>0</v>
      </c>
      <c r="C29" s="1">
        <f t="shared" ref="C29:J29" si="7">C21-$I$21*C30</f>
        <v>0</v>
      </c>
      <c r="D29" s="1">
        <f t="shared" si="7"/>
        <v>0</v>
      </c>
      <c r="E29" s="1">
        <f t="shared" si="7"/>
        <v>0</v>
      </c>
      <c r="F29" s="1">
        <f t="shared" si="7"/>
        <v>1</v>
      </c>
      <c r="G29" s="1">
        <f t="shared" si="7"/>
        <v>-1</v>
      </c>
      <c r="H29" s="1">
        <f t="shared" si="7"/>
        <v>-1</v>
      </c>
      <c r="I29" s="1">
        <f t="shared" si="7"/>
        <v>0</v>
      </c>
      <c r="J29" s="14">
        <f t="shared" si="7"/>
        <v>7</v>
      </c>
    </row>
    <row r="30" spans="2:11" x14ac:dyDescent="0.2">
      <c r="B30" s="13" t="s">
        <v>3</v>
      </c>
      <c r="C30" s="1">
        <f t="shared" ref="C30:J30" si="8">C22/$I$22</f>
        <v>0</v>
      </c>
      <c r="D30" s="1">
        <f t="shared" si="8"/>
        <v>0</v>
      </c>
      <c r="E30" s="1">
        <f t="shared" si="8"/>
        <v>0</v>
      </c>
      <c r="F30" s="1">
        <f t="shared" si="8"/>
        <v>0</v>
      </c>
      <c r="G30" s="1">
        <f t="shared" si="8"/>
        <v>0.5</v>
      </c>
      <c r="H30" s="1">
        <f t="shared" si="8"/>
        <v>1</v>
      </c>
      <c r="I30" s="1">
        <f t="shared" si="8"/>
        <v>1</v>
      </c>
      <c r="J30" s="14">
        <f t="shared" si="8"/>
        <v>6</v>
      </c>
    </row>
    <row r="31" spans="2:11" x14ac:dyDescent="0.2">
      <c r="B31" s="13" t="s">
        <v>7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-1</v>
      </c>
      <c r="I31" s="1">
        <v>0</v>
      </c>
      <c r="J31" s="14">
        <v>2</v>
      </c>
    </row>
    <row r="32" spans="2:11" ht="17" thickBot="1" x14ac:dyDescent="0.25">
      <c r="B32" s="17" t="s">
        <v>8</v>
      </c>
      <c r="C32" s="18">
        <f t="shared" ref="C32:J32" si="9">C24-$I$24*C30</f>
        <v>0</v>
      </c>
      <c r="D32" s="18">
        <f t="shared" si="9"/>
        <v>0</v>
      </c>
      <c r="E32" s="18">
        <f t="shared" si="9"/>
        <v>1</v>
      </c>
      <c r="F32" s="18">
        <f t="shared" si="9"/>
        <v>0</v>
      </c>
      <c r="G32" s="18">
        <f t="shared" si="9"/>
        <v>0.5</v>
      </c>
      <c r="H32" s="18">
        <f t="shared" si="9"/>
        <v>1</v>
      </c>
      <c r="I32" s="18">
        <f t="shared" si="9"/>
        <v>0</v>
      </c>
      <c r="J32" s="20">
        <f t="shared" si="9"/>
        <v>8</v>
      </c>
    </row>
    <row r="33" spans="3:4" ht="17" thickBot="1" x14ac:dyDescent="0.25"/>
    <row r="34" spans="3:4" x14ac:dyDescent="0.2">
      <c r="C34" s="43" t="s">
        <v>7</v>
      </c>
      <c r="D34" s="44">
        <v>2</v>
      </c>
    </row>
    <row r="35" spans="3:4" ht="17" thickBot="1" x14ac:dyDescent="0.25">
      <c r="C35" s="45" t="s">
        <v>8</v>
      </c>
      <c r="D35" s="4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F3BD-0F50-E646-AB6C-0BF1F3CF1817}">
  <dimension ref="B1:M49"/>
  <sheetViews>
    <sheetView topLeftCell="A8" zoomScale="90" zoomScaleNormal="90" workbookViewId="0">
      <selection activeCell="M22" sqref="M22"/>
    </sheetView>
  </sheetViews>
  <sheetFormatPr baseColWidth="10" defaultRowHeight="16" x14ac:dyDescent="0.2"/>
  <sheetData>
    <row r="1" spans="2:12" ht="17" thickBot="1" x14ac:dyDescent="0.25"/>
    <row r="2" spans="2:12" x14ac:dyDescent="0.2">
      <c r="B2" s="9" t="s">
        <v>4</v>
      </c>
      <c r="C2" s="10" t="s">
        <v>5</v>
      </c>
      <c r="D2" s="10" t="s">
        <v>14</v>
      </c>
      <c r="E2" s="10" t="s">
        <v>8</v>
      </c>
      <c r="F2" s="10" t="s">
        <v>0</v>
      </c>
      <c r="G2" s="10" t="s">
        <v>1</v>
      </c>
      <c r="H2" s="10" t="s">
        <v>2</v>
      </c>
      <c r="I2" s="10" t="s">
        <v>3</v>
      </c>
      <c r="J2" s="10" t="s">
        <v>15</v>
      </c>
      <c r="K2" s="10" t="s">
        <v>16</v>
      </c>
      <c r="L2" s="12" t="s">
        <v>6</v>
      </c>
    </row>
    <row r="3" spans="2:12" x14ac:dyDescent="0.2">
      <c r="B3" s="13" t="s">
        <v>5</v>
      </c>
      <c r="C3" s="1">
        <v>1</v>
      </c>
      <c r="D3" s="1">
        <v>-1</v>
      </c>
      <c r="E3" s="1">
        <v>-1</v>
      </c>
      <c r="F3" s="1">
        <v>0</v>
      </c>
      <c r="G3" s="1">
        <v>0</v>
      </c>
      <c r="H3" s="1">
        <v>0</v>
      </c>
      <c r="I3" s="1">
        <v>0</v>
      </c>
      <c r="J3" s="1">
        <v>-10000</v>
      </c>
      <c r="K3" s="1">
        <v>-10000</v>
      </c>
      <c r="L3" s="14">
        <v>0</v>
      </c>
    </row>
    <row r="4" spans="2:12" x14ac:dyDescent="0.2">
      <c r="B4" s="13" t="s">
        <v>15</v>
      </c>
      <c r="C4" s="1">
        <v>0</v>
      </c>
      <c r="D4" s="1">
        <v>0.5</v>
      </c>
      <c r="E4" s="1">
        <v>0.2</v>
      </c>
      <c r="F4" s="1">
        <v>-1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4">
        <v>20</v>
      </c>
    </row>
    <row r="5" spans="2:12" x14ac:dyDescent="0.2">
      <c r="B5" s="13" t="s">
        <v>1</v>
      </c>
      <c r="C5" s="1">
        <v>0</v>
      </c>
      <c r="D5" s="1">
        <v>1</v>
      </c>
      <c r="E5" s="1">
        <v>-1.5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4">
        <v>0</v>
      </c>
    </row>
    <row r="6" spans="2:12" x14ac:dyDescent="0.2">
      <c r="B6" s="13" t="s">
        <v>16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-1</v>
      </c>
      <c r="I6" s="1">
        <v>0</v>
      </c>
      <c r="J6" s="1">
        <v>0</v>
      </c>
      <c r="K6" s="1">
        <v>1</v>
      </c>
      <c r="L6" s="14">
        <v>5</v>
      </c>
    </row>
    <row r="7" spans="2:12" ht="17" thickBot="1" x14ac:dyDescent="0.25">
      <c r="B7" s="17" t="s">
        <v>3</v>
      </c>
      <c r="C7" s="18">
        <v>0</v>
      </c>
      <c r="D7" s="18">
        <v>1</v>
      </c>
      <c r="E7" s="18">
        <v>1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20">
        <v>100</v>
      </c>
    </row>
    <row r="9" spans="2:12" ht="17" thickBot="1" x14ac:dyDescent="0.25"/>
    <row r="10" spans="2:12" x14ac:dyDescent="0.2">
      <c r="B10" s="9" t="s">
        <v>4</v>
      </c>
      <c r="C10" s="10" t="s">
        <v>5</v>
      </c>
      <c r="D10" s="10" t="s">
        <v>14</v>
      </c>
      <c r="E10" s="10" t="s">
        <v>8</v>
      </c>
      <c r="F10" s="10" t="s">
        <v>0</v>
      </c>
      <c r="G10" s="10" t="s">
        <v>1</v>
      </c>
      <c r="H10" s="10" t="s">
        <v>2</v>
      </c>
      <c r="I10" s="10" t="s">
        <v>3</v>
      </c>
      <c r="J10" s="10" t="s">
        <v>15</v>
      </c>
      <c r="K10" s="10" t="s">
        <v>16</v>
      </c>
      <c r="L10" s="12" t="s">
        <v>6</v>
      </c>
    </row>
    <row r="11" spans="2:12" x14ac:dyDescent="0.2">
      <c r="B11" s="13" t="s">
        <v>5</v>
      </c>
      <c r="C11" s="1">
        <f t="shared" ref="C11:J11" si="0">C3-$K$3*C12</f>
        <v>1</v>
      </c>
      <c r="D11" s="1">
        <f t="shared" si="0"/>
        <v>4999</v>
      </c>
      <c r="E11" s="1">
        <f t="shared" si="0"/>
        <v>1999</v>
      </c>
      <c r="F11" s="1">
        <f t="shared" si="0"/>
        <v>-10000</v>
      </c>
      <c r="G11" s="1">
        <f t="shared" si="0"/>
        <v>0</v>
      </c>
      <c r="H11" s="1">
        <f t="shared" si="0"/>
        <v>0</v>
      </c>
      <c r="I11" s="1">
        <f t="shared" si="0"/>
        <v>0</v>
      </c>
      <c r="J11" s="1">
        <f t="shared" si="0"/>
        <v>0</v>
      </c>
      <c r="K11" s="1">
        <f>K3-$K$3*K12</f>
        <v>-10000</v>
      </c>
      <c r="L11" s="1">
        <f>L3-$K$3*L12</f>
        <v>200000</v>
      </c>
    </row>
    <row r="12" spans="2:12" x14ac:dyDescent="0.2">
      <c r="B12" s="13" t="s">
        <v>15</v>
      </c>
      <c r="C12" s="1">
        <v>0</v>
      </c>
      <c r="D12" s="1">
        <v>0.5</v>
      </c>
      <c r="E12" s="1">
        <v>0.2</v>
      </c>
      <c r="F12" s="1">
        <v>-1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4">
        <v>20</v>
      </c>
    </row>
    <row r="13" spans="2:12" x14ac:dyDescent="0.2">
      <c r="B13" s="13" t="s">
        <v>1</v>
      </c>
      <c r="C13" s="1">
        <v>0</v>
      </c>
      <c r="D13" s="1">
        <v>1</v>
      </c>
      <c r="E13" s="1">
        <v>-1.5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4">
        <v>0</v>
      </c>
    </row>
    <row r="14" spans="2:12" x14ac:dyDescent="0.2">
      <c r="B14" s="13" t="s">
        <v>16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-1</v>
      </c>
      <c r="I14" s="1">
        <v>0</v>
      </c>
      <c r="J14" s="1">
        <v>0</v>
      </c>
      <c r="K14" s="1">
        <v>1</v>
      </c>
      <c r="L14" s="14">
        <v>5</v>
      </c>
    </row>
    <row r="15" spans="2:12" ht="17" thickBot="1" x14ac:dyDescent="0.25">
      <c r="B15" s="17" t="s">
        <v>3</v>
      </c>
      <c r="C15" s="18">
        <v>0</v>
      </c>
      <c r="D15" s="18">
        <v>1</v>
      </c>
      <c r="E15" s="18">
        <v>1</v>
      </c>
      <c r="F15" s="18">
        <v>0</v>
      </c>
      <c r="G15" s="18">
        <v>0</v>
      </c>
      <c r="H15" s="18">
        <v>0</v>
      </c>
      <c r="I15" s="18">
        <v>1</v>
      </c>
      <c r="J15" s="18">
        <v>0</v>
      </c>
      <c r="K15" s="18">
        <v>0</v>
      </c>
      <c r="L15" s="20">
        <v>100</v>
      </c>
    </row>
    <row r="17" spans="2:13" ht="17" thickBot="1" x14ac:dyDescent="0.25"/>
    <row r="18" spans="2:13" x14ac:dyDescent="0.2">
      <c r="B18" s="9" t="s">
        <v>4</v>
      </c>
      <c r="C18" s="10" t="s">
        <v>5</v>
      </c>
      <c r="D18" s="10" t="s">
        <v>14</v>
      </c>
      <c r="E18" s="23" t="s">
        <v>8</v>
      </c>
      <c r="F18" s="10" t="s">
        <v>0</v>
      </c>
      <c r="G18" s="11" t="s">
        <v>1</v>
      </c>
      <c r="H18" s="10" t="s">
        <v>2</v>
      </c>
      <c r="I18" s="11" t="s">
        <v>3</v>
      </c>
      <c r="J18" s="11" t="s">
        <v>15</v>
      </c>
      <c r="K18" s="11" t="s">
        <v>16</v>
      </c>
      <c r="L18" s="12" t="s">
        <v>6</v>
      </c>
      <c r="M18" s="41" t="s">
        <v>18</v>
      </c>
    </row>
    <row r="19" spans="2:13" x14ac:dyDescent="0.2">
      <c r="B19" s="13" t="s">
        <v>5</v>
      </c>
      <c r="C19" s="1">
        <f t="shared" ref="C19:J19" si="1">C11-$K$11*C22</f>
        <v>1</v>
      </c>
      <c r="D19" s="1">
        <f t="shared" si="1"/>
        <v>4999</v>
      </c>
      <c r="E19" s="26">
        <f>E11-$K$11*E22</f>
        <v>11999</v>
      </c>
      <c r="F19" s="1">
        <f>F11-$K$11*F22</f>
        <v>-10000</v>
      </c>
      <c r="G19" s="1">
        <f t="shared" si="1"/>
        <v>0</v>
      </c>
      <c r="H19" s="1">
        <f t="shared" si="1"/>
        <v>-10000</v>
      </c>
      <c r="I19" s="1">
        <f t="shared" si="1"/>
        <v>0</v>
      </c>
      <c r="J19" s="1">
        <f t="shared" si="1"/>
        <v>0</v>
      </c>
      <c r="K19" s="1">
        <f>K11-$K$11*K22</f>
        <v>0</v>
      </c>
      <c r="L19" s="1">
        <f>L11-$K$11*L22</f>
        <v>250000</v>
      </c>
    </row>
    <row r="20" spans="2:13" x14ac:dyDescent="0.2">
      <c r="B20" s="13" t="s">
        <v>15</v>
      </c>
      <c r="C20" s="1">
        <v>0</v>
      </c>
      <c r="D20" s="1">
        <v>0.5</v>
      </c>
      <c r="E20" s="26">
        <v>0.2</v>
      </c>
      <c r="F20" s="1">
        <v>-1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4">
        <v>20</v>
      </c>
      <c r="M20">
        <f>L20/E20</f>
        <v>100</v>
      </c>
    </row>
    <row r="21" spans="2:13" x14ac:dyDescent="0.2">
      <c r="B21" s="13" t="s">
        <v>1</v>
      </c>
      <c r="C21" s="1">
        <v>0</v>
      </c>
      <c r="D21" s="1">
        <v>1</v>
      </c>
      <c r="E21" s="26">
        <v>-1.5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4">
        <v>0</v>
      </c>
      <c r="M21">
        <f t="shared" ref="M21:M23" si="2">L21/E21</f>
        <v>0</v>
      </c>
    </row>
    <row r="22" spans="2:13" x14ac:dyDescent="0.2">
      <c r="B22" s="27" t="s">
        <v>16</v>
      </c>
      <c r="C22" s="26">
        <v>0</v>
      </c>
      <c r="D22" s="26">
        <v>0</v>
      </c>
      <c r="E22" s="26">
        <v>1</v>
      </c>
      <c r="F22" s="26">
        <v>0</v>
      </c>
      <c r="G22" s="26">
        <v>0</v>
      </c>
      <c r="H22" s="26">
        <v>-1</v>
      </c>
      <c r="I22" s="26">
        <v>0</v>
      </c>
      <c r="J22" s="26">
        <v>0</v>
      </c>
      <c r="K22" s="26">
        <v>1</v>
      </c>
      <c r="L22" s="28">
        <v>5</v>
      </c>
      <c r="M22" s="24">
        <f t="shared" si="2"/>
        <v>5</v>
      </c>
    </row>
    <row r="23" spans="2:13" ht="17" thickBot="1" x14ac:dyDescent="0.25">
      <c r="B23" s="17" t="s">
        <v>3</v>
      </c>
      <c r="C23" s="18">
        <v>0</v>
      </c>
      <c r="D23" s="18">
        <v>1</v>
      </c>
      <c r="E23" s="29">
        <v>1</v>
      </c>
      <c r="F23" s="18">
        <v>0</v>
      </c>
      <c r="G23" s="18">
        <v>0</v>
      </c>
      <c r="H23" s="18">
        <v>0</v>
      </c>
      <c r="I23" s="18">
        <v>1</v>
      </c>
      <c r="J23" s="18">
        <v>0</v>
      </c>
      <c r="K23" s="18">
        <v>0</v>
      </c>
      <c r="L23" s="20">
        <v>100</v>
      </c>
      <c r="M23">
        <f t="shared" si="2"/>
        <v>100</v>
      </c>
    </row>
    <row r="25" spans="2:13" ht="17" thickBot="1" x14ac:dyDescent="0.25"/>
    <row r="26" spans="2:13" x14ac:dyDescent="0.2">
      <c r="B26" s="9" t="s">
        <v>4</v>
      </c>
      <c r="C26" s="10" t="s">
        <v>5</v>
      </c>
      <c r="D26" s="23" t="s">
        <v>14</v>
      </c>
      <c r="E26" s="10" t="s">
        <v>8</v>
      </c>
      <c r="F26" s="10" t="s">
        <v>0</v>
      </c>
      <c r="G26" s="10" t="s">
        <v>1</v>
      </c>
      <c r="H26" s="10" t="s">
        <v>2</v>
      </c>
      <c r="I26" s="10" t="s">
        <v>3</v>
      </c>
      <c r="J26" s="10" t="s">
        <v>15</v>
      </c>
      <c r="K26" s="10" t="s">
        <v>16</v>
      </c>
      <c r="L26" s="12" t="s">
        <v>6</v>
      </c>
      <c r="M26" s="41" t="s">
        <v>18</v>
      </c>
    </row>
    <row r="27" spans="2:13" x14ac:dyDescent="0.2">
      <c r="B27" s="13" t="s">
        <v>5</v>
      </c>
      <c r="C27" s="1">
        <f t="shared" ref="C27:D27" si="3">C19-$E$19*C30</f>
        <v>1</v>
      </c>
      <c r="D27" s="26">
        <f t="shared" si="3"/>
        <v>4999</v>
      </c>
      <c r="E27" s="1">
        <f>E19-$E$19*E30</f>
        <v>0</v>
      </c>
      <c r="F27" s="1">
        <f t="shared" ref="F27:L27" si="4">F19-$E$19*F30</f>
        <v>-10000</v>
      </c>
      <c r="G27" s="1">
        <f t="shared" si="4"/>
        <v>0</v>
      </c>
      <c r="H27" s="1">
        <f t="shared" si="4"/>
        <v>1999</v>
      </c>
      <c r="I27" s="1">
        <f t="shared" si="4"/>
        <v>0</v>
      </c>
      <c r="J27" s="1">
        <f t="shared" si="4"/>
        <v>0</v>
      </c>
      <c r="K27" s="1">
        <f t="shared" si="4"/>
        <v>-11999</v>
      </c>
      <c r="L27" s="1">
        <f t="shared" si="4"/>
        <v>190005</v>
      </c>
    </row>
    <row r="28" spans="2:13" x14ac:dyDescent="0.2">
      <c r="B28" s="13" t="s">
        <v>15</v>
      </c>
      <c r="C28" s="1">
        <f t="shared" ref="C28:D28" si="5">C20-$E$20*C30</f>
        <v>0</v>
      </c>
      <c r="D28" s="26">
        <f t="shared" si="5"/>
        <v>0.5</v>
      </c>
      <c r="E28" s="1">
        <f>E20-$E$20*E30</f>
        <v>0</v>
      </c>
      <c r="F28" s="1">
        <f t="shared" ref="F28:L28" si="6">F20-$E$20*F30</f>
        <v>-1</v>
      </c>
      <c r="G28" s="1">
        <f t="shared" si="6"/>
        <v>0</v>
      </c>
      <c r="H28" s="1">
        <f t="shared" si="6"/>
        <v>0.2</v>
      </c>
      <c r="I28" s="1">
        <f t="shared" si="6"/>
        <v>0</v>
      </c>
      <c r="J28" s="1">
        <f t="shared" si="6"/>
        <v>1</v>
      </c>
      <c r="K28" s="1">
        <f t="shared" si="6"/>
        <v>-0.2</v>
      </c>
      <c r="L28" s="1">
        <f t="shared" si="6"/>
        <v>19</v>
      </c>
      <c r="M28" s="22">
        <f>L28/D28</f>
        <v>38</v>
      </c>
    </row>
    <row r="29" spans="2:13" x14ac:dyDescent="0.2">
      <c r="B29" s="27" t="s">
        <v>1</v>
      </c>
      <c r="C29" s="26">
        <f t="shared" ref="C29" si="7">C21-$E$21*C30</f>
        <v>0</v>
      </c>
      <c r="D29" s="26">
        <f t="shared" ref="D29" si="8">D21-$E$21*D30</f>
        <v>1</v>
      </c>
      <c r="E29" s="26">
        <f>E21-$E$21*E30</f>
        <v>0</v>
      </c>
      <c r="F29" s="26">
        <f t="shared" ref="F29:L29" si="9">F21-$E$21*F30</f>
        <v>0</v>
      </c>
      <c r="G29" s="26">
        <f t="shared" si="9"/>
        <v>1</v>
      </c>
      <c r="H29" s="26">
        <f t="shared" si="9"/>
        <v>-1.5</v>
      </c>
      <c r="I29" s="26">
        <f t="shared" si="9"/>
        <v>0</v>
      </c>
      <c r="J29" s="26">
        <f t="shared" si="9"/>
        <v>0</v>
      </c>
      <c r="K29" s="26">
        <f t="shared" si="9"/>
        <v>1.5</v>
      </c>
      <c r="L29" s="26">
        <f t="shared" si="9"/>
        <v>7.5</v>
      </c>
      <c r="M29" s="25">
        <f t="shared" ref="M29:M31" si="10">L29/D29</f>
        <v>7.5</v>
      </c>
    </row>
    <row r="30" spans="2:13" x14ac:dyDescent="0.2">
      <c r="B30" s="13" t="s">
        <v>8</v>
      </c>
      <c r="C30" s="1">
        <v>0</v>
      </c>
      <c r="D30" s="26">
        <v>0</v>
      </c>
      <c r="E30" s="1">
        <v>1</v>
      </c>
      <c r="F30" s="1">
        <v>0</v>
      </c>
      <c r="G30" s="1">
        <v>0</v>
      </c>
      <c r="H30" s="1">
        <v>-1</v>
      </c>
      <c r="I30" s="1">
        <v>0</v>
      </c>
      <c r="J30" s="1">
        <v>0</v>
      </c>
      <c r="K30" s="1">
        <v>1</v>
      </c>
      <c r="L30" s="14">
        <v>5</v>
      </c>
      <c r="M30" s="22" t="e">
        <f t="shared" si="10"/>
        <v>#DIV/0!</v>
      </c>
    </row>
    <row r="31" spans="2:13" ht="17" thickBot="1" x14ac:dyDescent="0.25">
      <c r="B31" s="17" t="s">
        <v>3</v>
      </c>
      <c r="C31" s="18">
        <f t="shared" ref="C31" si="11">C23-$E$23*C30</f>
        <v>0</v>
      </c>
      <c r="D31" s="29">
        <f t="shared" ref="D31" si="12">D23-$E$23*D30</f>
        <v>1</v>
      </c>
      <c r="E31" s="18">
        <f>E23-$E$23*E30</f>
        <v>0</v>
      </c>
      <c r="F31" s="18">
        <f t="shared" ref="F31:L31" si="13">F23-$E$23*F30</f>
        <v>0</v>
      </c>
      <c r="G31" s="18">
        <f t="shared" si="13"/>
        <v>0</v>
      </c>
      <c r="H31" s="18">
        <f t="shared" si="13"/>
        <v>1</v>
      </c>
      <c r="I31" s="18">
        <f t="shared" si="13"/>
        <v>1</v>
      </c>
      <c r="J31" s="18">
        <f t="shared" si="13"/>
        <v>0</v>
      </c>
      <c r="K31" s="18">
        <f t="shared" si="13"/>
        <v>-1</v>
      </c>
      <c r="L31" s="18">
        <f t="shared" si="13"/>
        <v>95</v>
      </c>
      <c r="M31" s="22">
        <f t="shared" si="10"/>
        <v>95</v>
      </c>
    </row>
    <row r="33" spans="2:13" ht="17" thickBot="1" x14ac:dyDescent="0.25"/>
    <row r="34" spans="2:13" x14ac:dyDescent="0.2">
      <c r="B34" s="9" t="s">
        <v>4</v>
      </c>
      <c r="C34" s="10" t="s">
        <v>5</v>
      </c>
      <c r="D34" s="10" t="s">
        <v>14</v>
      </c>
      <c r="E34" s="10" t="s">
        <v>8</v>
      </c>
      <c r="F34" s="10" t="s">
        <v>0</v>
      </c>
      <c r="G34" s="10" t="s">
        <v>1</v>
      </c>
      <c r="H34" s="23" t="s">
        <v>2</v>
      </c>
      <c r="I34" s="10" t="s">
        <v>3</v>
      </c>
      <c r="J34" s="10" t="s">
        <v>15</v>
      </c>
      <c r="K34" s="10" t="s">
        <v>16</v>
      </c>
      <c r="L34" s="12" t="s">
        <v>6</v>
      </c>
      <c r="M34" s="41" t="s">
        <v>18</v>
      </c>
    </row>
    <row r="35" spans="2:13" x14ac:dyDescent="0.2">
      <c r="B35" s="13" t="s">
        <v>5</v>
      </c>
      <c r="C35" s="1">
        <f t="shared" ref="C35:L35" si="14">C27-$D$27*C37</f>
        <v>1</v>
      </c>
      <c r="D35" s="1">
        <f>D27-$D$27*D37</f>
        <v>0</v>
      </c>
      <c r="E35" s="1">
        <f t="shared" si="14"/>
        <v>0</v>
      </c>
      <c r="F35" s="1">
        <f t="shared" si="14"/>
        <v>-10000</v>
      </c>
      <c r="G35" s="1">
        <f t="shared" si="14"/>
        <v>-4999</v>
      </c>
      <c r="H35" s="26">
        <f t="shared" si="14"/>
        <v>9497.5</v>
      </c>
      <c r="I35" s="1">
        <f t="shared" si="14"/>
        <v>0</v>
      </c>
      <c r="J35" s="1">
        <f t="shared" si="14"/>
        <v>0</v>
      </c>
      <c r="K35" s="1">
        <f t="shared" si="14"/>
        <v>-19497.5</v>
      </c>
      <c r="L35" s="1">
        <f t="shared" si="14"/>
        <v>152512.5</v>
      </c>
    </row>
    <row r="36" spans="2:13" x14ac:dyDescent="0.2">
      <c r="B36" s="27" t="s">
        <v>15</v>
      </c>
      <c r="C36" s="26">
        <f t="shared" ref="C36:L36" si="15">C28-$D$28*C29</f>
        <v>0</v>
      </c>
      <c r="D36" s="26">
        <f>D28-$D$28*D29</f>
        <v>0</v>
      </c>
      <c r="E36" s="26">
        <f t="shared" si="15"/>
        <v>0</v>
      </c>
      <c r="F36" s="26">
        <f t="shared" si="15"/>
        <v>-1</v>
      </c>
      <c r="G36" s="26">
        <f t="shared" si="15"/>
        <v>-0.5</v>
      </c>
      <c r="H36" s="26">
        <f t="shared" si="15"/>
        <v>0.95</v>
      </c>
      <c r="I36" s="26">
        <f t="shared" si="15"/>
        <v>0</v>
      </c>
      <c r="J36" s="26">
        <f t="shared" si="15"/>
        <v>1</v>
      </c>
      <c r="K36" s="26">
        <f t="shared" si="15"/>
        <v>-0.95</v>
      </c>
      <c r="L36" s="26">
        <f t="shared" si="15"/>
        <v>15.25</v>
      </c>
      <c r="M36" s="25">
        <f>L36/H36</f>
        <v>16.05263157894737</v>
      </c>
    </row>
    <row r="37" spans="2:13" x14ac:dyDescent="0.2">
      <c r="B37" s="13" t="s">
        <v>14</v>
      </c>
      <c r="C37" s="1">
        <v>0</v>
      </c>
      <c r="D37" s="1">
        <v>1</v>
      </c>
      <c r="E37" s="1">
        <v>0</v>
      </c>
      <c r="F37" s="1">
        <v>0</v>
      </c>
      <c r="G37" s="1">
        <v>1</v>
      </c>
      <c r="H37" s="26">
        <v>-1.5</v>
      </c>
      <c r="I37" s="1">
        <v>0</v>
      </c>
      <c r="J37" s="1">
        <v>0</v>
      </c>
      <c r="K37" s="1">
        <v>1.5</v>
      </c>
      <c r="L37" s="14">
        <v>7.5</v>
      </c>
      <c r="M37" s="22">
        <f t="shared" ref="M37:M39" si="16">L37/H37</f>
        <v>-5</v>
      </c>
    </row>
    <row r="38" spans="2:13" x14ac:dyDescent="0.2">
      <c r="B38" s="13" t="s">
        <v>8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26">
        <v>-1</v>
      </c>
      <c r="I38" s="1">
        <v>0</v>
      </c>
      <c r="J38" s="1">
        <v>0</v>
      </c>
      <c r="K38" s="1">
        <v>1</v>
      </c>
      <c r="L38" s="14">
        <v>5</v>
      </c>
      <c r="M38" s="22">
        <f t="shared" si="16"/>
        <v>-5</v>
      </c>
    </row>
    <row r="39" spans="2:13" ht="17" thickBot="1" x14ac:dyDescent="0.25">
      <c r="B39" s="17" t="s">
        <v>3</v>
      </c>
      <c r="C39" s="18">
        <f t="shared" ref="C39:L39" si="17">C31-$D$31*C37</f>
        <v>0</v>
      </c>
      <c r="D39" s="18">
        <f>D31-$D$31*D37</f>
        <v>0</v>
      </c>
      <c r="E39" s="18">
        <f t="shared" si="17"/>
        <v>0</v>
      </c>
      <c r="F39" s="18">
        <f t="shared" si="17"/>
        <v>0</v>
      </c>
      <c r="G39" s="18">
        <f t="shared" si="17"/>
        <v>-1</v>
      </c>
      <c r="H39" s="29">
        <f t="shared" si="17"/>
        <v>2.5</v>
      </c>
      <c r="I39" s="18">
        <f t="shared" si="17"/>
        <v>1</v>
      </c>
      <c r="J39" s="18">
        <f t="shared" si="17"/>
        <v>0</v>
      </c>
      <c r="K39" s="18">
        <f t="shared" si="17"/>
        <v>-2.5</v>
      </c>
      <c r="L39" s="18">
        <f t="shared" si="17"/>
        <v>87.5</v>
      </c>
      <c r="M39" s="22">
        <f t="shared" si="16"/>
        <v>35</v>
      </c>
    </row>
    <row r="40" spans="2:13" ht="17" thickBot="1" x14ac:dyDescent="0.25"/>
    <row r="41" spans="2:13" x14ac:dyDescent="0.2">
      <c r="B41" s="9" t="s">
        <v>4</v>
      </c>
      <c r="C41" s="10" t="s">
        <v>5</v>
      </c>
      <c r="D41" s="10" t="s">
        <v>14</v>
      </c>
      <c r="E41" s="10" t="s">
        <v>8</v>
      </c>
      <c r="F41" s="10" t="s">
        <v>0</v>
      </c>
      <c r="G41" s="10" t="s">
        <v>1</v>
      </c>
      <c r="H41" s="10" t="s">
        <v>2</v>
      </c>
      <c r="I41" s="10" t="s">
        <v>3</v>
      </c>
      <c r="J41" s="10" t="s">
        <v>15</v>
      </c>
      <c r="K41" s="10" t="s">
        <v>16</v>
      </c>
      <c r="L41" s="12" t="s">
        <v>6</v>
      </c>
    </row>
    <row r="42" spans="2:13" x14ac:dyDescent="0.2">
      <c r="B42" s="13" t="s">
        <v>5</v>
      </c>
      <c r="C42" s="1">
        <f>C35-$H$35*C43</f>
        <v>1</v>
      </c>
      <c r="D42" s="1">
        <f t="shared" ref="D42" si="18">D35-$H$35*D43</f>
        <v>0</v>
      </c>
      <c r="E42" s="1">
        <f t="shared" ref="E42" si="19">E35-$H$35*E43</f>
        <v>0</v>
      </c>
      <c r="F42" s="1">
        <f t="shared" ref="F42" si="20">F35-$H$35*F43</f>
        <v>-2.6315789473683253</v>
      </c>
      <c r="G42" s="1">
        <f t="shared" ref="G42" si="21">G35-$H$35*G43</f>
        <v>-0.31578947368416266</v>
      </c>
      <c r="H42" s="1">
        <f>H35-$H$35*H43</f>
        <v>0</v>
      </c>
      <c r="I42" s="1">
        <f t="shared" ref="I42:L42" si="22">I35-$H$35*I43</f>
        <v>0</v>
      </c>
      <c r="J42" s="1">
        <f t="shared" si="22"/>
        <v>-9997.3684210526317</v>
      </c>
      <c r="K42" s="1">
        <f t="shared" si="22"/>
        <v>-10000</v>
      </c>
      <c r="L42" s="21">
        <f t="shared" si="22"/>
        <v>52.63157894735923</v>
      </c>
    </row>
    <row r="43" spans="2:13" x14ac:dyDescent="0.2">
      <c r="B43" s="13" t="s">
        <v>2</v>
      </c>
      <c r="C43" s="1">
        <f>C36/$H$36</f>
        <v>0</v>
      </c>
      <c r="D43" s="1">
        <f t="shared" ref="D43:G43" si="23">D36/$H$36</f>
        <v>0</v>
      </c>
      <c r="E43" s="1">
        <f t="shared" si="23"/>
        <v>0</v>
      </c>
      <c r="F43" s="1">
        <f t="shared" si="23"/>
        <v>-1.0526315789473684</v>
      </c>
      <c r="G43" s="1">
        <f t="shared" si="23"/>
        <v>-0.52631578947368418</v>
      </c>
      <c r="H43" s="1">
        <f>H36/$H$36</f>
        <v>1</v>
      </c>
      <c r="I43" s="1">
        <f t="shared" ref="I43:L43" si="24">I36/$H$36</f>
        <v>0</v>
      </c>
      <c r="J43" s="1">
        <f t="shared" si="24"/>
        <v>1.0526315789473684</v>
      </c>
      <c r="K43" s="1">
        <f t="shared" si="24"/>
        <v>-1</v>
      </c>
      <c r="L43" s="14">
        <f t="shared" si="24"/>
        <v>16.05263157894737</v>
      </c>
    </row>
    <row r="44" spans="2:13" x14ac:dyDescent="0.2">
      <c r="B44" s="13" t="s">
        <v>14</v>
      </c>
      <c r="C44" s="1">
        <f>C37-$H$37*C43</f>
        <v>0</v>
      </c>
      <c r="D44" s="1">
        <f t="shared" ref="D44" si="25">D37-$H$37*D43</f>
        <v>1</v>
      </c>
      <c r="E44" s="1">
        <f t="shared" ref="E44" si="26">E37-$H$37*E43</f>
        <v>0</v>
      </c>
      <c r="F44" s="1">
        <f t="shared" ref="F44" si="27">F37-$H$37*F43</f>
        <v>-1.5789473684210527</v>
      </c>
      <c r="G44" s="1">
        <f t="shared" ref="G44" si="28">G37-$H$37*G43</f>
        <v>0.21052631578947367</v>
      </c>
      <c r="H44" s="1">
        <f>H37-$H$37*H43</f>
        <v>0</v>
      </c>
      <c r="I44" s="1">
        <f t="shared" ref="I44:L44" si="29">I37-$H$37*I43</f>
        <v>0</v>
      </c>
      <c r="J44" s="1">
        <f t="shared" si="29"/>
        <v>1.5789473684210527</v>
      </c>
      <c r="K44" s="1">
        <f t="shared" si="29"/>
        <v>0</v>
      </c>
      <c r="L44" s="14">
        <f t="shared" si="29"/>
        <v>31.578947368421055</v>
      </c>
    </row>
    <row r="45" spans="2:13" x14ac:dyDescent="0.2">
      <c r="B45" s="13" t="s">
        <v>8</v>
      </c>
      <c r="C45" s="1">
        <f>C38-$H$38*C43</f>
        <v>0</v>
      </c>
      <c r="D45" s="1">
        <f t="shared" ref="D45:G45" si="30">D38-$H$38*D43</f>
        <v>0</v>
      </c>
      <c r="E45" s="1">
        <f t="shared" si="30"/>
        <v>1</v>
      </c>
      <c r="F45" s="1">
        <f t="shared" si="30"/>
        <v>-1.0526315789473684</v>
      </c>
      <c r="G45" s="1">
        <f t="shared" si="30"/>
        <v>-0.52631578947368418</v>
      </c>
      <c r="H45" s="1">
        <f>H38-$H$38*H43</f>
        <v>0</v>
      </c>
      <c r="I45" s="1">
        <f t="shared" ref="I45:L45" si="31">I38-$H$38*I43</f>
        <v>0</v>
      </c>
      <c r="J45" s="1">
        <f t="shared" si="31"/>
        <v>1.0526315789473684</v>
      </c>
      <c r="K45" s="1">
        <f t="shared" si="31"/>
        <v>0</v>
      </c>
      <c r="L45" s="14">
        <f t="shared" si="31"/>
        <v>21.05263157894737</v>
      </c>
    </row>
    <row r="46" spans="2:13" ht="17" thickBot="1" x14ac:dyDescent="0.25">
      <c r="B46" s="17" t="s">
        <v>3</v>
      </c>
      <c r="C46" s="18">
        <f t="shared" ref="C46:K46" si="32">C39-$H$39*C43</f>
        <v>0</v>
      </c>
      <c r="D46" s="18">
        <f t="shared" si="32"/>
        <v>0</v>
      </c>
      <c r="E46" s="18">
        <f t="shared" si="32"/>
        <v>0</v>
      </c>
      <c r="F46" s="18">
        <f t="shared" si="32"/>
        <v>2.6315789473684208</v>
      </c>
      <c r="G46" s="18">
        <f t="shared" si="32"/>
        <v>0.3157894736842104</v>
      </c>
      <c r="H46" s="18">
        <f t="shared" si="32"/>
        <v>0</v>
      </c>
      <c r="I46" s="18">
        <f t="shared" si="32"/>
        <v>1</v>
      </c>
      <c r="J46" s="18">
        <f t="shared" si="32"/>
        <v>-2.6315789473684208</v>
      </c>
      <c r="K46" s="18">
        <f t="shared" si="32"/>
        <v>0</v>
      </c>
      <c r="L46" s="20">
        <f t="shared" ref="L46" si="33">L39-$H$39*L43</f>
        <v>47.368421052631575</v>
      </c>
    </row>
    <row r="47" spans="2:13" ht="17" thickBot="1" x14ac:dyDescent="0.25"/>
    <row r="48" spans="2:13" x14ac:dyDescent="0.2">
      <c r="C48" s="43" t="s">
        <v>14</v>
      </c>
      <c r="D48" s="44">
        <v>31.6</v>
      </c>
    </row>
    <row r="49" spans="3:4" ht="17" thickBot="1" x14ac:dyDescent="0.25">
      <c r="C49" s="45" t="s">
        <v>8</v>
      </c>
      <c r="D49" s="46">
        <v>21.05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FFDC-21E7-2942-821D-D0A60D4DD542}">
  <dimension ref="B1:M66"/>
  <sheetViews>
    <sheetView tabSelected="1" zoomScale="92" zoomScaleNormal="110" workbookViewId="0">
      <selection activeCell="I64" sqref="I64"/>
    </sheetView>
  </sheetViews>
  <sheetFormatPr baseColWidth="10" defaultRowHeight="16" x14ac:dyDescent="0.2"/>
  <sheetData>
    <row r="1" spans="2:13" ht="17" thickBot="1" x14ac:dyDescent="0.25"/>
    <row r="2" spans="2:13" x14ac:dyDescent="0.2">
      <c r="B2" s="9" t="s">
        <v>4</v>
      </c>
      <c r="C2" s="10" t="s">
        <v>5</v>
      </c>
      <c r="D2" s="10" t="s">
        <v>14</v>
      </c>
      <c r="E2" s="10" t="s">
        <v>8</v>
      </c>
      <c r="F2" s="10" t="s">
        <v>0</v>
      </c>
      <c r="G2" s="10" t="s">
        <v>1</v>
      </c>
      <c r="H2" s="10" t="s">
        <v>2</v>
      </c>
      <c r="I2" s="10" t="s">
        <v>3</v>
      </c>
      <c r="J2" s="10" t="s">
        <v>15</v>
      </c>
      <c r="K2" s="10" t="s">
        <v>16</v>
      </c>
      <c r="L2" s="12" t="s">
        <v>6</v>
      </c>
    </row>
    <row r="3" spans="2:13" x14ac:dyDescent="0.2">
      <c r="B3" s="13" t="s">
        <v>5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-1</v>
      </c>
      <c r="K3" s="1">
        <v>-1</v>
      </c>
      <c r="L3" s="14"/>
    </row>
    <row r="4" spans="2:13" x14ac:dyDescent="0.2">
      <c r="B4" s="13"/>
      <c r="C4" s="1">
        <v>0</v>
      </c>
      <c r="D4" s="1">
        <v>0.5</v>
      </c>
      <c r="E4" s="1">
        <v>0.2</v>
      </c>
      <c r="F4" s="1">
        <v>-1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4">
        <v>20</v>
      </c>
    </row>
    <row r="5" spans="2:13" x14ac:dyDescent="0.2">
      <c r="B5" s="13"/>
      <c r="C5" s="1">
        <v>0</v>
      </c>
      <c r="D5" s="1">
        <v>1</v>
      </c>
      <c r="E5" s="1">
        <v>-1.5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4">
        <v>0</v>
      </c>
    </row>
    <row r="6" spans="2:13" x14ac:dyDescent="0.2">
      <c r="B6" s="13"/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-1</v>
      </c>
      <c r="I6" s="1">
        <v>0</v>
      </c>
      <c r="J6" s="1">
        <v>0</v>
      </c>
      <c r="K6" s="1">
        <v>1</v>
      </c>
      <c r="L6" s="14">
        <v>5</v>
      </c>
    </row>
    <row r="7" spans="2:13" ht="17" thickBot="1" x14ac:dyDescent="0.25">
      <c r="B7" s="17"/>
      <c r="C7" s="18">
        <v>0</v>
      </c>
      <c r="D7" s="18">
        <v>1</v>
      </c>
      <c r="E7" s="18">
        <v>1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20">
        <v>100</v>
      </c>
    </row>
    <row r="8" spans="2:13" ht="17" thickBot="1" x14ac:dyDescent="0.25"/>
    <row r="9" spans="2:13" x14ac:dyDescent="0.2">
      <c r="B9" s="9" t="s">
        <v>4</v>
      </c>
      <c r="C9" s="10" t="s">
        <v>5</v>
      </c>
      <c r="D9" s="10" t="s">
        <v>14</v>
      </c>
      <c r="E9" s="10" t="s">
        <v>8</v>
      </c>
      <c r="F9" s="10" t="s">
        <v>0</v>
      </c>
      <c r="G9" s="10" t="s">
        <v>1</v>
      </c>
      <c r="H9" s="10" t="s">
        <v>2</v>
      </c>
      <c r="I9" s="10" t="s">
        <v>3</v>
      </c>
      <c r="J9" s="10" t="s">
        <v>15</v>
      </c>
      <c r="K9" s="10" t="s">
        <v>16</v>
      </c>
      <c r="L9" s="12" t="s">
        <v>6</v>
      </c>
    </row>
    <row r="10" spans="2:13" x14ac:dyDescent="0.2">
      <c r="B10" s="13" t="s">
        <v>5</v>
      </c>
      <c r="C10" s="1">
        <f t="shared" ref="C10:D10" si="0">C3-$J$3*C11</f>
        <v>1</v>
      </c>
      <c r="D10" s="1">
        <f t="shared" si="0"/>
        <v>0.5</v>
      </c>
      <c r="E10" s="1">
        <f t="shared" ref="E10" si="1">E3-$J$3*E11</f>
        <v>0.2</v>
      </c>
      <c r="F10" s="1">
        <f t="shared" ref="F10:G10" si="2">F3-$J$3*F11</f>
        <v>-1</v>
      </c>
      <c r="G10" s="1">
        <f t="shared" si="2"/>
        <v>0</v>
      </c>
      <c r="H10" s="1">
        <f t="shared" ref="H10" si="3">H3-$J$3*H11</f>
        <v>0</v>
      </c>
      <c r="I10" s="1">
        <f t="shared" ref="I10" si="4">I3-$J$3*I11</f>
        <v>0</v>
      </c>
      <c r="J10" s="1">
        <f>J3-$J$3*J11</f>
        <v>0</v>
      </c>
      <c r="K10" s="1">
        <f t="shared" ref="K10:L10" si="5">K3-$J$3*K11</f>
        <v>-1</v>
      </c>
      <c r="L10" s="1">
        <f t="shared" si="5"/>
        <v>20</v>
      </c>
    </row>
    <row r="11" spans="2:13" x14ac:dyDescent="0.2">
      <c r="B11" s="13"/>
      <c r="C11" s="1">
        <v>0</v>
      </c>
      <c r="D11" s="1">
        <v>0.5</v>
      </c>
      <c r="E11" s="1">
        <v>0.2</v>
      </c>
      <c r="F11" s="1">
        <v>-1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4">
        <v>20</v>
      </c>
    </row>
    <row r="12" spans="2:13" x14ac:dyDescent="0.2">
      <c r="B12" s="13"/>
      <c r="C12" s="1">
        <v>0</v>
      </c>
      <c r="D12" s="1">
        <v>1</v>
      </c>
      <c r="E12" s="1">
        <v>-1.5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4">
        <v>0</v>
      </c>
    </row>
    <row r="13" spans="2:13" x14ac:dyDescent="0.2">
      <c r="B13" s="13"/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v>-1</v>
      </c>
      <c r="I13" s="1">
        <v>0</v>
      </c>
      <c r="J13" s="1">
        <v>0</v>
      </c>
      <c r="K13" s="1">
        <v>1</v>
      </c>
      <c r="L13" s="14">
        <v>5</v>
      </c>
    </row>
    <row r="14" spans="2:13" ht="17" thickBot="1" x14ac:dyDescent="0.25">
      <c r="B14" s="17"/>
      <c r="C14" s="18">
        <v>0</v>
      </c>
      <c r="D14" s="18">
        <v>1</v>
      </c>
      <c r="E14" s="18">
        <v>1</v>
      </c>
      <c r="F14" s="18">
        <v>0</v>
      </c>
      <c r="G14" s="18">
        <v>0</v>
      </c>
      <c r="H14" s="18">
        <v>0</v>
      </c>
      <c r="I14" s="18">
        <v>1</v>
      </c>
      <c r="J14" s="18">
        <v>0</v>
      </c>
      <c r="K14" s="18">
        <v>0</v>
      </c>
      <c r="L14" s="20">
        <v>100</v>
      </c>
    </row>
    <row r="15" spans="2:13" ht="17" thickBot="1" x14ac:dyDescent="0.25"/>
    <row r="16" spans="2:13" x14ac:dyDescent="0.2">
      <c r="B16" s="9" t="s">
        <v>4</v>
      </c>
      <c r="C16" s="10" t="s">
        <v>5</v>
      </c>
      <c r="D16" s="10" t="s">
        <v>14</v>
      </c>
      <c r="E16" s="23" t="s">
        <v>8</v>
      </c>
      <c r="F16" s="10" t="s">
        <v>0</v>
      </c>
      <c r="G16" s="10" t="s">
        <v>1</v>
      </c>
      <c r="H16" s="10" t="s">
        <v>2</v>
      </c>
      <c r="I16" s="10" t="s">
        <v>3</v>
      </c>
      <c r="J16" s="10" t="s">
        <v>15</v>
      </c>
      <c r="K16" s="10" t="s">
        <v>16</v>
      </c>
      <c r="L16" s="12" t="s">
        <v>6</v>
      </c>
      <c r="M16" s="41" t="s">
        <v>18</v>
      </c>
    </row>
    <row r="17" spans="2:13" x14ac:dyDescent="0.2">
      <c r="B17" s="13" t="s">
        <v>5</v>
      </c>
      <c r="C17" s="1">
        <f t="shared" ref="C17:J17" si="6">C10-$K$10*C20</f>
        <v>1</v>
      </c>
      <c r="D17" s="1">
        <f t="shared" si="6"/>
        <v>0.5</v>
      </c>
      <c r="E17" s="26">
        <f t="shared" si="6"/>
        <v>1.2</v>
      </c>
      <c r="F17" s="1">
        <f t="shared" si="6"/>
        <v>-1</v>
      </c>
      <c r="G17" s="1">
        <f t="shared" si="6"/>
        <v>0</v>
      </c>
      <c r="H17" s="1">
        <f t="shared" si="6"/>
        <v>-1</v>
      </c>
      <c r="I17" s="1">
        <f t="shared" si="6"/>
        <v>0</v>
      </c>
      <c r="J17" s="1">
        <f t="shared" si="6"/>
        <v>0</v>
      </c>
      <c r="K17" s="1">
        <f>K10-$K$10*K20</f>
        <v>0</v>
      </c>
      <c r="L17" s="14">
        <f>L10-$K$10*L20</f>
        <v>25</v>
      </c>
    </row>
    <row r="18" spans="2:13" x14ac:dyDescent="0.2">
      <c r="B18" s="13" t="s">
        <v>15</v>
      </c>
      <c r="C18" s="1">
        <v>0</v>
      </c>
      <c r="D18" s="1">
        <v>0.5</v>
      </c>
      <c r="E18" s="26">
        <v>0.2</v>
      </c>
      <c r="F18" s="1">
        <v>-1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4">
        <v>20</v>
      </c>
      <c r="M18">
        <f>L18/E18</f>
        <v>100</v>
      </c>
    </row>
    <row r="19" spans="2:13" x14ac:dyDescent="0.2">
      <c r="B19" s="13" t="s">
        <v>1</v>
      </c>
      <c r="C19" s="1">
        <v>0</v>
      </c>
      <c r="D19" s="1">
        <v>1</v>
      </c>
      <c r="E19" s="26">
        <v>-1.5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4">
        <v>0</v>
      </c>
      <c r="M19">
        <f t="shared" ref="M19:M21" si="7">L19/E19</f>
        <v>0</v>
      </c>
    </row>
    <row r="20" spans="2:13" x14ac:dyDescent="0.2">
      <c r="B20" s="27" t="s">
        <v>8</v>
      </c>
      <c r="C20" s="26">
        <v>0</v>
      </c>
      <c r="D20" s="26">
        <v>0</v>
      </c>
      <c r="E20" s="26">
        <v>1</v>
      </c>
      <c r="F20" s="26">
        <v>0</v>
      </c>
      <c r="G20" s="26">
        <v>0</v>
      </c>
      <c r="H20" s="26">
        <v>-1</v>
      </c>
      <c r="I20" s="26">
        <v>0</v>
      </c>
      <c r="J20" s="26">
        <v>0</v>
      </c>
      <c r="K20" s="26">
        <v>1</v>
      </c>
      <c r="L20" s="28">
        <v>5</v>
      </c>
      <c r="M20" s="24">
        <f t="shared" si="7"/>
        <v>5</v>
      </c>
    </row>
    <row r="21" spans="2:13" ht="17" thickBot="1" x14ac:dyDescent="0.25">
      <c r="B21" s="17" t="s">
        <v>3</v>
      </c>
      <c r="C21" s="18">
        <v>0</v>
      </c>
      <c r="D21" s="18">
        <v>1</v>
      </c>
      <c r="E21" s="29">
        <v>1</v>
      </c>
      <c r="F21" s="18">
        <v>0</v>
      </c>
      <c r="G21" s="18">
        <v>0</v>
      </c>
      <c r="H21" s="18">
        <v>0</v>
      </c>
      <c r="I21" s="18">
        <v>1</v>
      </c>
      <c r="J21" s="18">
        <v>0</v>
      </c>
      <c r="K21" s="18">
        <v>0</v>
      </c>
      <c r="L21" s="20">
        <v>100</v>
      </c>
      <c r="M21">
        <f t="shared" si="7"/>
        <v>100</v>
      </c>
    </row>
    <row r="22" spans="2:13" ht="17" thickBot="1" x14ac:dyDescent="0.25"/>
    <row r="23" spans="2:13" x14ac:dyDescent="0.2">
      <c r="B23" s="9" t="s">
        <v>4</v>
      </c>
      <c r="C23" s="10" t="s">
        <v>5</v>
      </c>
      <c r="D23" s="23" t="s">
        <v>14</v>
      </c>
      <c r="E23" s="10" t="s">
        <v>8</v>
      </c>
      <c r="F23" s="10" t="s">
        <v>0</v>
      </c>
      <c r="G23" s="10" t="s">
        <v>1</v>
      </c>
      <c r="H23" s="10" t="s">
        <v>2</v>
      </c>
      <c r="I23" s="10" t="s">
        <v>3</v>
      </c>
      <c r="J23" s="10" t="s">
        <v>15</v>
      </c>
      <c r="K23" s="10" t="s">
        <v>16</v>
      </c>
      <c r="L23" s="12" t="s">
        <v>6</v>
      </c>
      <c r="M23" s="41" t="s">
        <v>18</v>
      </c>
    </row>
    <row r="24" spans="2:13" x14ac:dyDescent="0.2">
      <c r="B24" s="13" t="s">
        <v>5</v>
      </c>
      <c r="C24" s="1">
        <f t="shared" ref="C24:D24" si="8">C17-$E$17*C27</f>
        <v>1</v>
      </c>
      <c r="D24" s="26">
        <f t="shared" si="8"/>
        <v>0.5</v>
      </c>
      <c r="E24" s="1">
        <f>E17-$E$17*E27</f>
        <v>0</v>
      </c>
      <c r="F24" s="1">
        <f t="shared" ref="F24:L24" si="9">F17-$E$17*F27</f>
        <v>-1</v>
      </c>
      <c r="G24" s="1">
        <f t="shared" si="9"/>
        <v>0</v>
      </c>
      <c r="H24" s="1">
        <f t="shared" si="9"/>
        <v>0.19999999999999996</v>
      </c>
      <c r="I24" s="1">
        <f t="shared" si="9"/>
        <v>0</v>
      </c>
      <c r="J24" s="1">
        <f t="shared" si="9"/>
        <v>0</v>
      </c>
      <c r="K24" s="1">
        <f t="shared" si="9"/>
        <v>-1.2</v>
      </c>
      <c r="L24" s="1">
        <f t="shared" si="9"/>
        <v>19</v>
      </c>
    </row>
    <row r="25" spans="2:13" x14ac:dyDescent="0.2">
      <c r="B25" s="13" t="s">
        <v>15</v>
      </c>
      <c r="C25" s="1">
        <f t="shared" ref="C25:D25" si="10">C18-$E$18*C27</f>
        <v>0</v>
      </c>
      <c r="D25" s="26">
        <f t="shared" si="10"/>
        <v>0.5</v>
      </c>
      <c r="E25" s="1">
        <f>E18-$E$18*E27</f>
        <v>0</v>
      </c>
      <c r="F25" s="1">
        <f t="shared" ref="F25:L25" si="11">F18-$E$18*F27</f>
        <v>-1</v>
      </c>
      <c r="G25" s="1">
        <f t="shared" si="11"/>
        <v>0</v>
      </c>
      <c r="H25" s="1">
        <f t="shared" si="11"/>
        <v>0.2</v>
      </c>
      <c r="I25" s="1">
        <f t="shared" si="11"/>
        <v>0</v>
      </c>
      <c r="J25" s="1">
        <f t="shared" si="11"/>
        <v>1</v>
      </c>
      <c r="K25" s="1">
        <f t="shared" si="11"/>
        <v>-0.2</v>
      </c>
      <c r="L25" s="1">
        <f t="shared" si="11"/>
        <v>19</v>
      </c>
      <c r="M25" s="22">
        <f>L25/D25</f>
        <v>38</v>
      </c>
    </row>
    <row r="26" spans="2:13" x14ac:dyDescent="0.2">
      <c r="B26" s="27" t="s">
        <v>14</v>
      </c>
      <c r="C26" s="26">
        <f t="shared" ref="C26" si="12">C19-$E$19*C27</f>
        <v>0</v>
      </c>
      <c r="D26" s="26">
        <f t="shared" ref="D26" si="13">D19-$E$19*D27</f>
        <v>1</v>
      </c>
      <c r="E26" s="26">
        <f>E19-$E$19*E27</f>
        <v>0</v>
      </c>
      <c r="F26" s="26">
        <f t="shared" ref="F26:L26" si="14">F19-$E$19*F27</f>
        <v>0</v>
      </c>
      <c r="G26" s="26">
        <f t="shared" si="14"/>
        <v>1</v>
      </c>
      <c r="H26" s="26">
        <f t="shared" si="14"/>
        <v>-1.5</v>
      </c>
      <c r="I26" s="26">
        <f t="shared" si="14"/>
        <v>0</v>
      </c>
      <c r="J26" s="26">
        <f t="shared" si="14"/>
        <v>0</v>
      </c>
      <c r="K26" s="26">
        <f t="shared" si="14"/>
        <v>1.5</v>
      </c>
      <c r="L26" s="26">
        <f t="shared" si="14"/>
        <v>7.5</v>
      </c>
      <c r="M26" s="25">
        <f t="shared" ref="M26:M28" si="15">L26/D26</f>
        <v>7.5</v>
      </c>
    </row>
    <row r="27" spans="2:13" x14ac:dyDescent="0.2">
      <c r="B27" s="13" t="s">
        <v>8</v>
      </c>
      <c r="C27" s="1">
        <v>0</v>
      </c>
      <c r="D27" s="26">
        <v>0</v>
      </c>
      <c r="E27" s="1">
        <v>1</v>
      </c>
      <c r="F27" s="1">
        <v>0</v>
      </c>
      <c r="G27" s="1">
        <v>0</v>
      </c>
      <c r="H27" s="1">
        <v>-1</v>
      </c>
      <c r="I27" s="1">
        <v>0</v>
      </c>
      <c r="J27" s="1">
        <v>0</v>
      </c>
      <c r="K27" s="1">
        <v>1</v>
      </c>
      <c r="L27" s="14">
        <v>5</v>
      </c>
      <c r="M27" s="22" t="e">
        <f t="shared" si="15"/>
        <v>#DIV/0!</v>
      </c>
    </row>
    <row r="28" spans="2:13" ht="17" thickBot="1" x14ac:dyDescent="0.25">
      <c r="B28" s="17" t="s">
        <v>3</v>
      </c>
      <c r="C28" s="18">
        <f t="shared" ref="C28" si="16">C21-$E$21*C27</f>
        <v>0</v>
      </c>
      <c r="D28" s="29">
        <f t="shared" ref="D28" si="17">D21-$E$21*D27</f>
        <v>1</v>
      </c>
      <c r="E28" s="18">
        <f>E21-$E$21*E27</f>
        <v>0</v>
      </c>
      <c r="F28" s="18">
        <f t="shared" ref="F28:L28" si="18">F21-$E$21*F27</f>
        <v>0</v>
      </c>
      <c r="G28" s="18">
        <f t="shared" si="18"/>
        <v>0</v>
      </c>
      <c r="H28" s="18">
        <f t="shared" si="18"/>
        <v>1</v>
      </c>
      <c r="I28" s="18">
        <f t="shared" si="18"/>
        <v>1</v>
      </c>
      <c r="J28" s="18">
        <f t="shared" si="18"/>
        <v>0</v>
      </c>
      <c r="K28" s="18">
        <f t="shared" si="18"/>
        <v>-1</v>
      </c>
      <c r="L28" s="18">
        <f t="shared" si="18"/>
        <v>95</v>
      </c>
      <c r="M28" s="22">
        <f t="shared" si="15"/>
        <v>95</v>
      </c>
    </row>
    <row r="29" spans="2:13" ht="17" thickBot="1" x14ac:dyDescent="0.25"/>
    <row r="30" spans="2:13" x14ac:dyDescent="0.2">
      <c r="B30" s="9" t="s">
        <v>4</v>
      </c>
      <c r="C30" s="10" t="s">
        <v>5</v>
      </c>
      <c r="D30" s="10" t="s">
        <v>14</v>
      </c>
      <c r="E30" s="10" t="s">
        <v>8</v>
      </c>
      <c r="F30" s="10" t="s">
        <v>0</v>
      </c>
      <c r="G30" s="10" t="s">
        <v>1</v>
      </c>
      <c r="H30" s="23" t="s">
        <v>2</v>
      </c>
      <c r="I30" s="10" t="s">
        <v>3</v>
      </c>
      <c r="J30" s="10" t="s">
        <v>15</v>
      </c>
      <c r="K30" s="10" t="s">
        <v>16</v>
      </c>
      <c r="L30" s="12" t="s">
        <v>6</v>
      </c>
      <c r="M30" s="41" t="s">
        <v>18</v>
      </c>
    </row>
    <row r="31" spans="2:13" x14ac:dyDescent="0.2">
      <c r="B31" s="13" t="s">
        <v>5</v>
      </c>
      <c r="C31" s="1">
        <f t="shared" ref="C31:L31" si="19">C24-$D$24*C33</f>
        <v>1</v>
      </c>
      <c r="D31" s="1">
        <f>D24-$D$24*D33</f>
        <v>0</v>
      </c>
      <c r="E31" s="1">
        <f t="shared" si="19"/>
        <v>0</v>
      </c>
      <c r="F31" s="1">
        <f t="shared" si="19"/>
        <v>-1</v>
      </c>
      <c r="G31" s="1">
        <f t="shared" si="19"/>
        <v>-0.5</v>
      </c>
      <c r="H31" s="26">
        <f t="shared" si="19"/>
        <v>0.95</v>
      </c>
      <c r="I31" s="1">
        <f t="shared" si="19"/>
        <v>0</v>
      </c>
      <c r="J31" s="1">
        <f t="shared" si="19"/>
        <v>0</v>
      </c>
      <c r="K31" s="1">
        <f t="shared" si="19"/>
        <v>-1.95</v>
      </c>
      <c r="L31" s="14">
        <f t="shared" si="19"/>
        <v>15.25</v>
      </c>
    </row>
    <row r="32" spans="2:13" x14ac:dyDescent="0.2">
      <c r="B32" s="27" t="s">
        <v>2</v>
      </c>
      <c r="C32" s="26">
        <f t="shared" ref="C32:L32" si="20">C25-$D$25*C26</f>
        <v>0</v>
      </c>
      <c r="D32" s="26">
        <f>D25-$D$25*D26</f>
        <v>0</v>
      </c>
      <c r="E32" s="26">
        <f t="shared" si="20"/>
        <v>0</v>
      </c>
      <c r="F32" s="26">
        <f t="shared" si="20"/>
        <v>-1</v>
      </c>
      <c r="G32" s="26">
        <f t="shared" si="20"/>
        <v>-0.5</v>
      </c>
      <c r="H32" s="26">
        <f t="shared" si="20"/>
        <v>0.95</v>
      </c>
      <c r="I32" s="26">
        <f t="shared" si="20"/>
        <v>0</v>
      </c>
      <c r="J32" s="26">
        <f t="shared" si="20"/>
        <v>1</v>
      </c>
      <c r="K32" s="26">
        <f t="shared" si="20"/>
        <v>-0.95</v>
      </c>
      <c r="L32" s="28">
        <f t="shared" si="20"/>
        <v>15.25</v>
      </c>
      <c r="M32" s="24">
        <f>L32/H32</f>
        <v>16.05263157894737</v>
      </c>
    </row>
    <row r="33" spans="2:13" x14ac:dyDescent="0.2">
      <c r="B33" s="13" t="s">
        <v>14</v>
      </c>
      <c r="C33" s="1">
        <v>0</v>
      </c>
      <c r="D33" s="1">
        <v>1</v>
      </c>
      <c r="E33" s="1">
        <v>0</v>
      </c>
      <c r="F33" s="1">
        <v>0</v>
      </c>
      <c r="G33" s="1">
        <v>1</v>
      </c>
      <c r="H33" s="26">
        <v>-1.5</v>
      </c>
      <c r="I33" s="1">
        <v>0</v>
      </c>
      <c r="J33" s="1">
        <v>0</v>
      </c>
      <c r="K33" s="1">
        <v>1.5</v>
      </c>
      <c r="L33" s="14">
        <v>7.5</v>
      </c>
      <c r="M33">
        <f t="shared" ref="M33:M35" si="21">L33/H33</f>
        <v>-5</v>
      </c>
    </row>
    <row r="34" spans="2:13" x14ac:dyDescent="0.2">
      <c r="B34" s="13" t="s">
        <v>8</v>
      </c>
      <c r="C34" s="1">
        <f t="shared" ref="C34:L34" si="22">C27-$D$27*C33</f>
        <v>0</v>
      </c>
      <c r="D34" s="1">
        <f>D27-$D$27*D33</f>
        <v>0</v>
      </c>
      <c r="E34" s="1">
        <f t="shared" si="22"/>
        <v>1</v>
      </c>
      <c r="F34" s="1">
        <f t="shared" si="22"/>
        <v>0</v>
      </c>
      <c r="G34" s="1">
        <f t="shared" si="22"/>
        <v>0</v>
      </c>
      <c r="H34" s="26">
        <f t="shared" si="22"/>
        <v>-1</v>
      </c>
      <c r="I34" s="1">
        <f t="shared" si="22"/>
        <v>0</v>
      </c>
      <c r="J34" s="1">
        <f t="shared" si="22"/>
        <v>0</v>
      </c>
      <c r="K34" s="1">
        <f t="shared" si="22"/>
        <v>1</v>
      </c>
      <c r="L34" s="14">
        <f t="shared" si="22"/>
        <v>5</v>
      </c>
      <c r="M34">
        <f t="shared" si="21"/>
        <v>-5</v>
      </c>
    </row>
    <row r="35" spans="2:13" ht="17" thickBot="1" x14ac:dyDescent="0.25">
      <c r="B35" s="17" t="s">
        <v>3</v>
      </c>
      <c r="C35" s="18">
        <f t="shared" ref="C35:L35" si="23">C28-$D$28*C33</f>
        <v>0</v>
      </c>
      <c r="D35" s="18">
        <f>D28-$D$28*D33</f>
        <v>0</v>
      </c>
      <c r="E35" s="18">
        <f t="shared" si="23"/>
        <v>0</v>
      </c>
      <c r="F35" s="18">
        <f t="shared" si="23"/>
        <v>0</v>
      </c>
      <c r="G35" s="18">
        <f t="shared" si="23"/>
        <v>-1</v>
      </c>
      <c r="H35" s="29">
        <f t="shared" si="23"/>
        <v>2.5</v>
      </c>
      <c r="I35" s="18">
        <f t="shared" si="23"/>
        <v>1</v>
      </c>
      <c r="J35" s="18">
        <f t="shared" si="23"/>
        <v>0</v>
      </c>
      <c r="K35" s="18">
        <f t="shared" si="23"/>
        <v>-2.5</v>
      </c>
      <c r="L35" s="20">
        <f t="shared" si="23"/>
        <v>87.5</v>
      </c>
      <c r="M35">
        <f t="shared" si="21"/>
        <v>35</v>
      </c>
    </row>
    <row r="36" spans="2:13" ht="17" thickBot="1" x14ac:dyDescent="0.25"/>
    <row r="37" spans="2:13" x14ac:dyDescent="0.2">
      <c r="B37" s="9" t="s">
        <v>4</v>
      </c>
      <c r="C37" s="10" t="s">
        <v>5</v>
      </c>
      <c r="D37" s="10" t="s">
        <v>14</v>
      </c>
      <c r="E37" s="10" t="s">
        <v>8</v>
      </c>
      <c r="F37" s="10" t="s">
        <v>0</v>
      </c>
      <c r="G37" s="10" t="s">
        <v>1</v>
      </c>
      <c r="H37" s="10" t="s">
        <v>2</v>
      </c>
      <c r="I37" s="10" t="s">
        <v>3</v>
      </c>
      <c r="J37" s="10" t="s">
        <v>15</v>
      </c>
      <c r="K37" s="10" t="s">
        <v>16</v>
      </c>
      <c r="L37" s="12" t="s">
        <v>6</v>
      </c>
    </row>
    <row r="38" spans="2:13" x14ac:dyDescent="0.2">
      <c r="B38" s="13" t="s">
        <v>5</v>
      </c>
      <c r="C38" s="8">
        <f>C31-$H$31*C39</f>
        <v>1</v>
      </c>
      <c r="D38" s="8">
        <f t="shared" ref="D38" si="24">D31-$H$31*D39</f>
        <v>0</v>
      </c>
      <c r="E38" s="8">
        <f t="shared" ref="E38" si="25">E31-$H$31*E39</f>
        <v>0</v>
      </c>
      <c r="F38" s="1">
        <f t="shared" ref="F38" si="26">F31-$H$31*F39</f>
        <v>0</v>
      </c>
      <c r="G38" s="1">
        <f t="shared" ref="G38" si="27">G31-$H$31*G39</f>
        <v>0</v>
      </c>
      <c r="H38" s="8">
        <f>H31-$H$31*H39</f>
        <v>0</v>
      </c>
      <c r="I38" s="8">
        <f t="shared" ref="I38:L38" si="28">I31-$H$31*I39</f>
        <v>0</v>
      </c>
      <c r="J38" s="1">
        <f t="shared" si="28"/>
        <v>-0.99999999999999989</v>
      </c>
      <c r="K38" s="1">
        <f t="shared" si="28"/>
        <v>-1</v>
      </c>
      <c r="L38" s="14">
        <f t="shared" si="28"/>
        <v>0</v>
      </c>
    </row>
    <row r="39" spans="2:13" x14ac:dyDescent="0.2">
      <c r="B39" s="13" t="s">
        <v>2</v>
      </c>
      <c r="C39" s="8">
        <f>C32/$H$32</f>
        <v>0</v>
      </c>
      <c r="D39" s="8">
        <f t="shared" ref="D39:G39" si="29">D32/$H$32</f>
        <v>0</v>
      </c>
      <c r="E39" s="8">
        <f t="shared" si="29"/>
        <v>0</v>
      </c>
      <c r="F39" s="1">
        <f t="shared" si="29"/>
        <v>-1.0526315789473684</v>
      </c>
      <c r="G39" s="1">
        <f t="shared" si="29"/>
        <v>-0.52631578947368418</v>
      </c>
      <c r="H39" s="8">
        <f>H32/$H$32</f>
        <v>1</v>
      </c>
      <c r="I39" s="8">
        <f t="shared" ref="I39:L39" si="30">I32/$H$32</f>
        <v>0</v>
      </c>
      <c r="J39" s="1">
        <f t="shared" si="30"/>
        <v>1.0526315789473684</v>
      </c>
      <c r="K39" s="1">
        <f t="shared" si="30"/>
        <v>-1</v>
      </c>
      <c r="L39" s="14">
        <f t="shared" si="30"/>
        <v>16.05263157894737</v>
      </c>
    </row>
    <row r="40" spans="2:13" x14ac:dyDescent="0.2">
      <c r="B40" s="13" t="s">
        <v>14</v>
      </c>
      <c r="C40" s="8">
        <f>C33-$H$33*C39</f>
        <v>0</v>
      </c>
      <c r="D40" s="8">
        <f t="shared" ref="D40" si="31">D33-$H$33*D39</f>
        <v>1</v>
      </c>
      <c r="E40" s="8">
        <f t="shared" ref="E40" si="32">E33-$H$33*E39</f>
        <v>0</v>
      </c>
      <c r="F40" s="1">
        <f t="shared" ref="F40" si="33">F33-$H$33*F39</f>
        <v>-1.5789473684210527</v>
      </c>
      <c r="G40" s="1">
        <f t="shared" ref="G40" si="34">G33-$H$33*G39</f>
        <v>0.21052631578947367</v>
      </c>
      <c r="H40" s="8">
        <f>H33-$H$33*H39</f>
        <v>0</v>
      </c>
      <c r="I40" s="8">
        <f t="shared" ref="I40:L40" si="35">I33-$H$33*I39</f>
        <v>0</v>
      </c>
      <c r="J40" s="1">
        <f t="shared" si="35"/>
        <v>1.5789473684210527</v>
      </c>
      <c r="K40" s="1">
        <f t="shared" si="35"/>
        <v>0</v>
      </c>
      <c r="L40" s="14">
        <f t="shared" si="35"/>
        <v>31.578947368421055</v>
      </c>
    </row>
    <row r="41" spans="2:13" x14ac:dyDescent="0.2">
      <c r="B41" s="13" t="s">
        <v>8</v>
      </c>
      <c r="C41" s="8">
        <f>C34-$H$34*C39</f>
        <v>0</v>
      </c>
      <c r="D41" s="8">
        <f t="shared" ref="D41:G41" si="36">D34-$H$34*D39</f>
        <v>0</v>
      </c>
      <c r="E41" s="8">
        <f t="shared" si="36"/>
        <v>1</v>
      </c>
      <c r="F41" s="1">
        <f t="shared" si="36"/>
        <v>-1.0526315789473684</v>
      </c>
      <c r="G41" s="1">
        <f t="shared" si="36"/>
        <v>-0.52631578947368418</v>
      </c>
      <c r="H41" s="8">
        <f>H34-$H$34*H39</f>
        <v>0</v>
      </c>
      <c r="I41" s="8">
        <f t="shared" ref="I41:L41" si="37">I34-$H$34*I39</f>
        <v>0</v>
      </c>
      <c r="J41" s="1">
        <f t="shared" si="37"/>
        <v>1.0526315789473684</v>
      </c>
      <c r="K41" s="1">
        <f t="shared" si="37"/>
        <v>0</v>
      </c>
      <c r="L41" s="14">
        <f t="shared" si="37"/>
        <v>21.05263157894737</v>
      </c>
    </row>
    <row r="42" spans="2:13" ht="17" thickBot="1" x14ac:dyDescent="0.25">
      <c r="B42" s="17" t="s">
        <v>3</v>
      </c>
      <c r="C42" s="19">
        <f>C35-$H$35*C39</f>
        <v>0</v>
      </c>
      <c r="D42" s="19">
        <f t="shared" ref="D42:G42" si="38">D35-$H$35*D39</f>
        <v>0</v>
      </c>
      <c r="E42" s="19">
        <f t="shared" si="38"/>
        <v>0</v>
      </c>
      <c r="F42" s="18">
        <f t="shared" si="38"/>
        <v>2.6315789473684208</v>
      </c>
      <c r="G42" s="18">
        <f t="shared" si="38"/>
        <v>0.3157894736842104</v>
      </c>
      <c r="H42" s="19">
        <f>H35-$H$35*H39</f>
        <v>0</v>
      </c>
      <c r="I42" s="19">
        <f t="shared" ref="I42:L42" si="39">I35-$H$35*I39</f>
        <v>1</v>
      </c>
      <c r="J42" s="18">
        <f t="shared" si="39"/>
        <v>-2.6315789473684208</v>
      </c>
      <c r="K42" s="18">
        <f t="shared" si="39"/>
        <v>0</v>
      </c>
      <c r="L42" s="20">
        <f t="shared" si="39"/>
        <v>47.368421052631575</v>
      </c>
    </row>
    <row r="45" spans="2:13" x14ac:dyDescent="0.2">
      <c r="B45" t="s">
        <v>17</v>
      </c>
    </row>
    <row r="46" spans="2:13" ht="17" thickBot="1" x14ac:dyDescent="0.25"/>
    <row r="47" spans="2:13" x14ac:dyDescent="0.2">
      <c r="B47" s="30" t="s">
        <v>4</v>
      </c>
      <c r="C47" s="31" t="s">
        <v>5</v>
      </c>
      <c r="D47" s="31" t="s">
        <v>14</v>
      </c>
      <c r="E47" s="31" t="s">
        <v>8</v>
      </c>
      <c r="F47" s="31" t="s">
        <v>0</v>
      </c>
      <c r="G47" s="31" t="s">
        <v>1</v>
      </c>
      <c r="H47" s="31" t="s">
        <v>2</v>
      </c>
      <c r="I47" s="31" t="s">
        <v>3</v>
      </c>
      <c r="J47" s="32" t="s">
        <v>6</v>
      </c>
    </row>
    <row r="48" spans="2:13" x14ac:dyDescent="0.2">
      <c r="B48" s="33" t="s">
        <v>5</v>
      </c>
      <c r="C48" s="39">
        <v>1</v>
      </c>
      <c r="D48" s="39">
        <v>-1</v>
      </c>
      <c r="E48" s="39">
        <v>-1</v>
      </c>
      <c r="F48" s="34">
        <v>0</v>
      </c>
      <c r="G48" s="34">
        <v>0</v>
      </c>
      <c r="H48" s="39">
        <v>0</v>
      </c>
      <c r="I48" s="39">
        <v>0</v>
      </c>
      <c r="J48" s="35">
        <v>0</v>
      </c>
    </row>
    <row r="49" spans="2:11" x14ac:dyDescent="0.2">
      <c r="B49" s="33" t="s">
        <v>14</v>
      </c>
      <c r="C49" s="39">
        <v>0</v>
      </c>
      <c r="D49" s="39">
        <v>0.5</v>
      </c>
      <c r="E49" s="39">
        <v>0.2</v>
      </c>
      <c r="F49" s="34">
        <v>-1</v>
      </c>
      <c r="G49" s="34">
        <v>0</v>
      </c>
      <c r="H49" s="39">
        <v>0</v>
      </c>
      <c r="I49" s="39">
        <v>0</v>
      </c>
      <c r="J49" s="35">
        <v>20</v>
      </c>
    </row>
    <row r="50" spans="2:11" x14ac:dyDescent="0.2">
      <c r="B50" s="33" t="s">
        <v>8</v>
      </c>
      <c r="C50" s="39">
        <v>0</v>
      </c>
      <c r="D50" s="39">
        <v>1</v>
      </c>
      <c r="E50" s="39">
        <v>-1.5</v>
      </c>
      <c r="F50" s="34">
        <v>0</v>
      </c>
      <c r="G50" s="34">
        <v>1</v>
      </c>
      <c r="H50" s="39">
        <v>0</v>
      </c>
      <c r="I50" s="39">
        <v>0</v>
      </c>
      <c r="J50" s="35">
        <v>0</v>
      </c>
    </row>
    <row r="51" spans="2:11" x14ac:dyDescent="0.2">
      <c r="B51" s="33" t="s">
        <v>2</v>
      </c>
      <c r="C51" s="39">
        <v>0</v>
      </c>
      <c r="D51" s="39">
        <v>0</v>
      </c>
      <c r="E51" s="39">
        <v>1</v>
      </c>
      <c r="F51" s="34">
        <v>0</v>
      </c>
      <c r="G51" s="34">
        <v>0</v>
      </c>
      <c r="H51" s="39">
        <v>-1</v>
      </c>
      <c r="I51" s="39">
        <v>0</v>
      </c>
      <c r="J51" s="35">
        <v>5</v>
      </c>
    </row>
    <row r="52" spans="2:11" ht="17" thickBot="1" x14ac:dyDescent="0.25">
      <c r="B52" s="36" t="s">
        <v>3</v>
      </c>
      <c r="C52" s="40">
        <v>0</v>
      </c>
      <c r="D52" s="40">
        <v>1</v>
      </c>
      <c r="E52" s="40">
        <v>1</v>
      </c>
      <c r="F52" s="37">
        <v>0</v>
      </c>
      <c r="G52" s="37">
        <v>0</v>
      </c>
      <c r="H52" s="40">
        <v>0</v>
      </c>
      <c r="I52" s="40">
        <v>1</v>
      </c>
      <c r="J52" s="38">
        <v>100</v>
      </c>
    </row>
    <row r="54" spans="2:11" x14ac:dyDescent="0.2">
      <c r="B54" s="42"/>
      <c r="C54" s="42"/>
      <c r="D54" s="42"/>
      <c r="E54" s="42"/>
      <c r="F54" s="42"/>
      <c r="G54" s="42"/>
      <c r="H54" s="42"/>
      <c r="I54" s="42"/>
      <c r="J54" s="42"/>
    </row>
    <row r="55" spans="2:11" x14ac:dyDescent="0.2">
      <c r="B55" s="42"/>
      <c r="C55" s="42"/>
      <c r="D55" s="42"/>
      <c r="E55" s="42"/>
      <c r="F55" s="42"/>
      <c r="G55" s="42"/>
      <c r="H55" s="42"/>
      <c r="I55" s="42"/>
      <c r="J55" s="42"/>
    </row>
    <row r="56" spans="2:11" x14ac:dyDescent="0.2">
      <c r="B56" s="42"/>
      <c r="C56" s="42"/>
      <c r="D56" s="42"/>
      <c r="E56" s="42"/>
      <c r="F56" s="42"/>
      <c r="G56" s="42"/>
      <c r="H56" s="42"/>
      <c r="I56" s="42"/>
      <c r="J56" s="42"/>
    </row>
    <row r="57" spans="2:11" x14ac:dyDescent="0.2">
      <c r="B57" s="42"/>
      <c r="C57" s="42"/>
      <c r="D57" s="42"/>
      <c r="E57" s="42"/>
      <c r="F57" s="42"/>
      <c r="G57" s="42"/>
      <c r="H57" s="42"/>
      <c r="I57" s="42"/>
      <c r="J57" s="42"/>
    </row>
    <row r="58" spans="2:11" x14ac:dyDescent="0.2">
      <c r="B58" s="42"/>
      <c r="C58" s="42"/>
      <c r="D58" s="42"/>
      <c r="E58" s="42"/>
      <c r="F58" s="42"/>
      <c r="G58" s="42"/>
      <c r="H58" s="42"/>
      <c r="I58" s="42"/>
      <c r="J58" s="42"/>
    </row>
    <row r="59" spans="2:11" x14ac:dyDescent="0.2">
      <c r="B59" s="42"/>
      <c r="C59" s="42"/>
      <c r="D59" s="42"/>
      <c r="E59" s="42"/>
      <c r="F59" s="42"/>
      <c r="G59" s="42"/>
      <c r="H59" s="42"/>
      <c r="I59" s="42"/>
      <c r="J59" s="42"/>
    </row>
    <row r="61" spans="2:11" x14ac:dyDescent="0.2">
      <c r="B61" s="42"/>
      <c r="C61" s="42"/>
      <c r="D61" s="42"/>
      <c r="E61" s="42"/>
      <c r="F61" s="42"/>
      <c r="G61" s="42"/>
      <c r="H61" s="42"/>
      <c r="I61" s="42"/>
      <c r="J61" s="42"/>
    </row>
    <row r="62" spans="2:11" x14ac:dyDescent="0.2">
      <c r="B62" s="42"/>
      <c r="C62" s="42"/>
      <c r="D62" s="42"/>
      <c r="E62" s="42"/>
      <c r="F62" s="42"/>
      <c r="G62" s="42"/>
      <c r="H62" s="42"/>
      <c r="I62" s="42"/>
      <c r="J62" s="42"/>
    </row>
    <row r="63" spans="2:11" x14ac:dyDescent="0.2"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spans="2:11" x14ac:dyDescent="0.2"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spans="2:11" x14ac:dyDescent="0.2">
      <c r="B65" s="42"/>
      <c r="C65" s="42"/>
      <c r="D65" s="42"/>
      <c r="E65" s="42"/>
      <c r="F65" s="42"/>
      <c r="G65" s="42"/>
      <c r="H65" s="42"/>
      <c r="I65" s="42"/>
      <c r="J65" s="42"/>
      <c r="K65" s="42"/>
    </row>
    <row r="66" spans="2:11" x14ac:dyDescent="0.2">
      <c r="B66" s="42"/>
      <c r="C66" s="42"/>
      <c r="D66" s="42"/>
      <c r="E66" s="42"/>
      <c r="F66" s="42"/>
      <c r="G66" s="42"/>
      <c r="H66" s="42"/>
      <c r="I66" s="42"/>
      <c r="J66" s="42"/>
      <c r="K66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1</vt:lpstr>
      <vt:lpstr>Exercise 2 Big M</vt:lpstr>
      <vt:lpstr>Exercise 2 Two 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Gonzalez, Juan</dc:creator>
  <cp:lastModifiedBy>Mejia Gonzalez, Juan</cp:lastModifiedBy>
  <dcterms:created xsi:type="dcterms:W3CDTF">2024-09-19T00:13:29Z</dcterms:created>
  <dcterms:modified xsi:type="dcterms:W3CDTF">2024-10-05T05:54:57Z</dcterms:modified>
</cp:coreProperties>
</file>