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Homeworks/Homework 2/"/>
    </mc:Choice>
  </mc:AlternateContent>
  <xr:revisionPtr revIDLastSave="192" documentId="8_{C1A98352-B7E0-5242-B384-98CB994E3475}" xr6:coauthVersionLast="47" xr6:coauthVersionMax="47" xr10:uidLastSave="{1271E80E-9CEC-394E-90AA-7141D8E25816}"/>
  <bookViews>
    <workbookView xWindow="0" yWindow="740" windowWidth="29400" windowHeight="16920" activeTab="1" xr2:uid="{E56EA759-A9E2-8642-B84D-174A89CE57E8}"/>
  </bookViews>
  <sheets>
    <sheet name="Problem 1" sheetId="1" r:id="rId1"/>
    <sheet name="Problem 2" sheetId="2" r:id="rId2"/>
  </sheets>
  <definedNames>
    <definedName name="solver_adj" localSheetId="0" hidden="1">'Problem 1'!$C$6:$D$6</definedName>
    <definedName name="solver_adj" localSheetId="1" hidden="1">'Problem 2'!$C$7:$D$7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itr" localSheetId="0" hidden="1">2147483647</definedName>
    <definedName name="solver_itr" localSheetId="1" hidden="1">2147483647</definedName>
    <definedName name="solver_lhs1" localSheetId="0" hidden="1">'Problem 1'!$C$10</definedName>
    <definedName name="solver_lhs1" localSheetId="1" hidden="1">'Problem 2'!$F$3</definedName>
    <definedName name="solver_lhs2" localSheetId="0" hidden="1">'Problem 1'!$C$11</definedName>
    <definedName name="solver_lhs2" localSheetId="1" hidden="1">'Problem 2'!$F$4</definedName>
    <definedName name="solver_lhs3" localSheetId="0" hidden="1">'Problem 1'!$C$12</definedName>
    <definedName name="solver_lhs3" localSheetId="1" hidden="1">'Problem 2'!$F$5</definedName>
    <definedName name="solver_lhs4" localSheetId="0" hidden="1">'Problem 1'!$C$9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3</definedName>
    <definedName name="solver_opt" localSheetId="0" hidden="1">'Problem 1'!$AF$34</definedName>
    <definedName name="solver_opt" localSheetId="1" hidden="1">'Problem 2'!$C$9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3</definedName>
    <definedName name="solver_rel2" localSheetId="0" hidden="1">3</definedName>
    <definedName name="solver_rel2" localSheetId="1" hidden="1">1</definedName>
    <definedName name="solver_rel3" localSheetId="0" hidden="1">3</definedName>
    <definedName name="solver_rel3" localSheetId="1" hidden="1">3</definedName>
    <definedName name="solver_rel4" localSheetId="0" hidden="1">1</definedName>
    <definedName name="solver_rhs1" localSheetId="0" hidden="1">'Problem 1'!$E$10</definedName>
    <definedName name="solver_rhs1" localSheetId="1" hidden="1">'Problem 2'!$H$3</definedName>
    <definedName name="solver_rhs2" localSheetId="0" hidden="1">'Problem 1'!$E$11</definedName>
    <definedName name="solver_rhs2" localSheetId="1" hidden="1">'Problem 2'!$H$4</definedName>
    <definedName name="solver_rhs3" localSheetId="0" hidden="1">'Problem 1'!$E$12</definedName>
    <definedName name="solver_rhs3" localSheetId="1" hidden="1">'Problem 2'!$H$5</definedName>
    <definedName name="solver_rhs4" localSheetId="0" hidden="1">'Problem 1'!$E$9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F4" i="2"/>
  <c r="F5" i="2"/>
  <c r="F3" i="2"/>
  <c r="C12" i="1"/>
  <c r="C11" i="1"/>
  <c r="C10" i="1"/>
  <c r="C9" i="1"/>
  <c r="C14" i="1"/>
  <c r="XFD1048550" i="1" a="1"/>
  <c r="XFD1048550" i="1" s="1"/>
  <c r="XFD1048551" i="1" a="1"/>
  <c r="XFD1048551" i="1" s="1"/>
  <c r="XFD1048552" i="1" a="1"/>
  <c r="XFD1048552" i="1" s="1"/>
  <c r="XFD1048553" i="1" a="1"/>
  <c r="XFD1048553" i="1" s="1"/>
  <c r="XFD1048554" i="1" a="1"/>
  <c r="XFD1048554" i="1" s="1"/>
  <c r="XFD1048555" i="1" a="1"/>
  <c r="XFD1048555" i="1"/>
  <c r="XFD1048556" i="1" a="1"/>
  <c r="XFD1048556" i="1" s="1"/>
  <c r="XFD1048557" i="1" a="1"/>
  <c r="XFD1048557" i="1"/>
  <c r="XFD1048558" i="1" a="1"/>
  <c r="XFD1048558" i="1" s="1"/>
  <c r="XFD1048559" i="1" a="1"/>
  <c r="XFD1048559" i="1"/>
  <c r="XFD1048560" i="1" a="1"/>
  <c r="XFD1048560" i="1" s="1"/>
  <c r="XFD1048561" i="1" a="1"/>
  <c r="XFD1048561" i="1"/>
  <c r="XFD1048562" i="1" a="1"/>
  <c r="XFD1048562" i="1" s="1"/>
  <c r="XFD1048563" i="1" a="1"/>
  <c r="XFD1048563" i="1" s="1"/>
  <c r="XFD1048564" i="1" a="1"/>
  <c r="XFD1048564" i="1"/>
  <c r="XFD1048565" i="1" a="1"/>
  <c r="XFD1048565" i="1" s="1"/>
  <c r="XFD1048566" i="1" a="1"/>
  <c r="XFD1048566" i="1" s="1"/>
  <c r="XFD1048567" i="1" a="1"/>
  <c r="XFD1048567" i="1" s="1"/>
  <c r="XFD1048568" i="1" a="1"/>
  <c r="XFD1048568" i="1" s="1"/>
  <c r="XFD1048569" i="1" a="1"/>
  <c r="XFD1048569" i="1"/>
  <c r="XFD1048570" i="1" a="1"/>
  <c r="XFD1048570" i="1" s="1"/>
  <c r="XFD1048571" i="1" a="1"/>
  <c r="XFD1048571" i="1"/>
  <c r="XFD1048572" i="1" a="1"/>
  <c r="XFD1048572" i="1"/>
  <c r="XFD1048573" i="1" a="1"/>
  <c r="XFD1048573" i="1"/>
  <c r="XFD1048574" i="1" a="1"/>
  <c r="XFD1048574" i="1" s="1"/>
  <c r="XFD1048575" i="1" a="1"/>
  <c r="XFD10485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<sst xmlns="http://schemas.openxmlformats.org/spreadsheetml/2006/main" count="22" uniqueCount="15">
  <si>
    <t>Red Paint</t>
  </si>
  <si>
    <t>Blue Paint</t>
  </si>
  <si>
    <t>Kilograms or raw material per gallon of</t>
  </si>
  <si>
    <t>Maximum daily availability</t>
  </si>
  <si>
    <t>Water (gallons)</t>
  </si>
  <si>
    <t>Pigments (kg)</t>
  </si>
  <si>
    <t>Production</t>
  </si>
  <si>
    <t>Profit</t>
  </si>
  <si>
    <t>Constraints</t>
  </si>
  <si>
    <t>&lt;=</t>
  </si>
  <si>
    <t>&gt;=</t>
  </si>
  <si>
    <t>Company A</t>
  </si>
  <si>
    <t>Company B</t>
  </si>
  <si>
    <t>Investment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</si>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</sst>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165100</xdr:colOff>
      <xdr:row>2</xdr:row>
      <xdr:rowOff>127000</xdr:rowOff>
    </xdr:from>
    <xdr:to>
      <xdr:col>20</xdr:col>
      <xdr:colOff>508000</xdr:colOff>
      <xdr:row>13</xdr:row>
      <xdr:rowOff>142949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EAA8A-CBF4-10E1-A36B-53761BFF2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0100" y="762000"/>
          <a:ext cx="7772400" cy="2708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2371EA-6075-9341-87A9-B7D972DB07C0}">
  <we:reference id="wa104100404" version="3.0.0.1" store="en-US" storeType="OMEX"/>
  <we:alternateReferences>
    <we:reference id="wa104100404" version="3.0.0.1" store="wa104100404" storeType="OMEX"/>
  </we:alternateReferences>
  <we:properties>
    <we:property name="PxgwUTtrGR4LXg==" value="&quot;&quot;"/>
    <we:property name="PxgwUTtrGRwITBgLCQ==" value="&quot;XQ==&quot;"/>
    <we:property name="PxgwUTtrGSIGWCMHFTw0HhU=" value="&quot;XF5lBH9qCGA=&quot;"/>
    <we:property name="PxgwUTtrGSIGWCMHFTw2AAg=" value="&quot;XA==&quot;"/>
    <we:property name="PxgwUTtrGSIGWCMHFTw2CQM=" value="&quot;WQ==&quot;"/>
    <we:property name="PxgwUTtrGSIGWCMHFTw2DgY=" value="&quot;XQ==&quot;"/>
    <we:property name="PxgwUTtrGSIGWCMHFTw2HxQ=" value="&quot;XA==&quot;"/>
    <we:property name="PxgwUTtrGSIGWCMHFTw3AxM=" value="&quot;XA==&quot;"/>
    <we:property name="PxgwUTtrGSIGWCMHFTw3Dxw=" value="&quot;XQ==&quot;"/>
    <we:property name="PxgwUTtrGSIGWCMHFTw3GBE=" value="&quot;XA==&quot;"/>
    <we:property name="PxgwUTtrGSIGWCMHFTw3Hwo=" value="&quot;XUBl&quot;"/>
    <we:property name="PxgwUTtrGSIGWCMHFTwhAhc=" value="&quot;KyIS&quot;"/>
    <we:property name="PxgwUTtrGSIGWCMHFTwiCRE=" value="&quot;XF5lBH9qCGA=&quot;"/>
    <we:property name="PxgwUTtrGSIGWCMHFTwjDQA=" value="&quot;XF5lBH9qCGA=&quot;"/>
    <we:property name="PxgwUTtrGSIGWCMHFTwlDxM=" value="&quot;XF5lBH4=&quot;"/>
    <we:property name="PxgwUTtrGSIGWCMHFTwlHgM=" value="&quot;XQ==&quot;"/>
    <we:property name="PxgwUTtrGSIGWCMHFTwnGhc=" value="&quot;XF5lBH9r&quot;"/>
    <we:property name="PxgwUTtrGSIGWCMHFTwoHAA=" value="&quot;XA==&quot;"/>
    <we:property name="PxgwUTtrGSIGWCMHFTwoHAQ=" value="&quot;XA==&quot;"/>
    <we:property name="PxgwUTtrGSIGWCMHFTwpAhk=" value="&quot;X0A=&quot;"/>
    <we:property name="PxgwUTtrGSIGWCMHFTwpCQQ=" value="&quot;Xg==&quot;"/>
    <we:property name="PxgwUTtrGSIGWCMHFTwpHgQ=" value="&quot;XF5lA3o=&quot;"/>
    <we:property name="PxgwUTtrGSIGWCMHFTwpHxw=" value="&quot;XA==&quot;"/>
    <we:property name="PxgwUTtrGSIGWCMHFTwqCRc=" value="&quot;XQ==&quot;"/>
    <we:property name="PxgwUTtrGSIGWCMHFTwqGAI=" value="&quot;Xg==&quot;"/>
    <we:property name="PxgwUTtrGSIGWCMHFTwtHAM=" value="&quot;XF5sDQ==&quot;"/>
    <we:property name="PxgwUTtrGSIGWCMHFTwtHBQ=" value="&quot;Xw==&quot;"/>
    <we:property name="PxgwUTtrGSIGWCMHFTwtHBk=" value="&quot;XQ==&quot;"/>
    <we:property name="PxgwUTtrGSIGWCMHFTwwAxw=" value="&quot;XF5lBQ==&quot;"/>
    <we:property name="UniqueID" value="&quot;2024821725286528224&quot;"/>
  </we:properties>
  <we:bindings>
    <we:binding id="refEdit" type="matrix" appref="{049F1B07-E065-9E41-96D1-B9DF9F13B9B0}"/>
    <we:binding id="Worker" type="matrix" appref="{B76F0100-D086-094F-8A9B-3DC8870B35D2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77BC-782D-6240-96C5-310AD4112658}">
  <dimension ref="B1:XFD1048575"/>
  <sheetViews>
    <sheetView workbookViewId="0">
      <selection activeCell="C27" sqref="C27"/>
    </sheetView>
  </sheetViews>
  <sheetFormatPr baseColWidth="10" defaultRowHeight="16" x14ac:dyDescent="0.2"/>
  <cols>
    <col min="3" max="4" width="16.6640625" customWidth="1"/>
    <col min="5" max="5" width="21.6640625" customWidth="1"/>
  </cols>
  <sheetData>
    <row r="1" spans="2:5" ht="34" x14ac:dyDescent="0.2">
      <c r="C1" s="10" t="s">
        <v>2</v>
      </c>
      <c r="D1" s="10"/>
      <c r="E1" s="2" t="s">
        <v>3</v>
      </c>
    </row>
    <row r="2" spans="2:5" x14ac:dyDescent="0.2">
      <c r="C2" s="9" t="s">
        <v>0</v>
      </c>
      <c r="D2" s="8" t="s">
        <v>1</v>
      </c>
    </row>
    <row r="3" spans="2:5" ht="34" x14ac:dyDescent="0.2">
      <c r="B3" s="3" t="s">
        <v>4</v>
      </c>
      <c r="C3" s="5">
        <v>2</v>
      </c>
      <c r="D3" s="5">
        <v>2</v>
      </c>
      <c r="E3" s="5">
        <v>20</v>
      </c>
    </row>
    <row r="4" spans="2:5" ht="34" x14ac:dyDescent="0.2">
      <c r="B4" s="3" t="s">
        <v>5</v>
      </c>
      <c r="C4" s="5">
        <v>1</v>
      </c>
      <c r="D4" s="5">
        <v>2</v>
      </c>
      <c r="E4" s="5">
        <v>25</v>
      </c>
    </row>
    <row r="6" spans="2:5" x14ac:dyDescent="0.2">
      <c r="B6" t="s">
        <v>6</v>
      </c>
      <c r="C6" s="6">
        <v>2</v>
      </c>
      <c r="D6" s="6">
        <v>8</v>
      </c>
    </row>
    <row r="8" spans="2:5" x14ac:dyDescent="0.2">
      <c r="B8" t="s">
        <v>8</v>
      </c>
    </row>
    <row r="9" spans="2:5" x14ac:dyDescent="0.2">
      <c r="C9" s="7">
        <f>SUMPRODUCT(C3:D3,$C$6:$D$6)</f>
        <v>20</v>
      </c>
      <c r="D9" t="s">
        <v>9</v>
      </c>
      <c r="E9" s="5">
        <v>20</v>
      </c>
    </row>
    <row r="10" spans="2:5" x14ac:dyDescent="0.2">
      <c r="C10" s="7">
        <f>SUMPRODUCT(C4:D4,$C$6:$D$6)</f>
        <v>18</v>
      </c>
      <c r="D10" t="s">
        <v>9</v>
      </c>
      <c r="E10" s="5">
        <v>25</v>
      </c>
    </row>
    <row r="11" spans="2:5" x14ac:dyDescent="0.2">
      <c r="C11" s="7">
        <f>C6</f>
        <v>2</v>
      </c>
      <c r="D11" t="s">
        <v>10</v>
      </c>
      <c r="E11" s="5">
        <v>2</v>
      </c>
    </row>
    <row r="12" spans="2:5" x14ac:dyDescent="0.2">
      <c r="C12" s="7">
        <f>D6</f>
        <v>8</v>
      </c>
      <c r="D12" t="s">
        <v>10</v>
      </c>
      <c r="E12" s="5">
        <v>2</v>
      </c>
    </row>
    <row r="14" spans="2:5" x14ac:dyDescent="0.2">
      <c r="B14" t="s">
        <v>7</v>
      </c>
      <c r="C14" s="4">
        <f>C6*10+D6*12</f>
        <v>116</v>
      </c>
      <c r="E14" s="1"/>
    </row>
    <row r="1048550" spans="16384:16384" x14ac:dyDescent="0.2">
      <c r="XFD1048550" cm="1">
        <f t="array" ref="XFD1048550">solver_pre</f>
        <v>9.9999999999999995E-7</v>
      </c>
    </row>
    <row r="1048551" spans="16384:16384" x14ac:dyDescent="0.2">
      <c r="XFD1048551" cm="1">
        <f t="array" ref="XFD1048551">solver_scl</f>
        <v>1</v>
      </c>
    </row>
    <row r="1048552" spans="16384:16384" x14ac:dyDescent="0.2">
      <c r="XFD1048552" cm="1">
        <f t="array" ref="XFD1048552">solver_rlx</f>
        <v>2</v>
      </c>
    </row>
    <row r="1048553" spans="16384:16384" x14ac:dyDescent="0.2">
      <c r="XFD1048553" cm="1">
        <f t="array" ref="XFD1048553">solver_tol</f>
        <v>0.01</v>
      </c>
    </row>
    <row r="1048554" spans="16384:16384" x14ac:dyDescent="0.2">
      <c r="XFD1048554" cm="1">
        <f t="array" ref="XFD1048554">solver_cvg</f>
        <v>1E-4</v>
      </c>
    </row>
    <row r="1048555" spans="16384:16384" x14ac:dyDescent="0.2">
      <c r="XFD1048555" t="e" cm="1">
        <f t="array" ref="XFD1048555">AREAS(solver_adj1)</f>
        <v>#NAME?</v>
      </c>
    </row>
    <row r="1048556" spans="16384:16384" x14ac:dyDescent="0.2">
      <c r="XFD1048556" cm="1">
        <f t="array" ref="XFD1048556">solver_ssz</f>
        <v>100</v>
      </c>
    </row>
    <row r="1048557" spans="16384:16384" x14ac:dyDescent="0.2">
      <c r="XFD1048557" cm="1">
        <f t="array" ref="XFD1048557">solver_rsd</f>
        <v>0</v>
      </c>
    </row>
    <row r="1048558" spans="16384:16384" x14ac:dyDescent="0.2">
      <c r="XFD1048558" cm="1">
        <f t="array" ref="XFD1048558">solver_mrt</f>
        <v>7.4999999999999997E-2</v>
      </c>
    </row>
    <row r="1048559" spans="16384:16384" x14ac:dyDescent="0.2">
      <c r="XFD1048559" cm="1">
        <f t="array" ref="XFD1048559">solver_mni</f>
        <v>30</v>
      </c>
    </row>
    <row r="1048560" spans="16384:16384" x14ac:dyDescent="0.2">
      <c r="XFD1048560" cm="1">
        <f t="array" ref="XFD1048560">solver_rbv</f>
        <v>1</v>
      </c>
    </row>
    <row r="1048561" spans="16384:16384" x14ac:dyDescent="0.2">
      <c r="XFD1048561" cm="1">
        <f t="array" ref="XFD1048561">solver_neg</f>
        <v>1</v>
      </c>
    </row>
    <row r="1048562" spans="16384:16384" x14ac:dyDescent="0.2">
      <c r="XFD1048562" t="e" cm="1">
        <f t="array" ref="XFD1048562">solver_ntr</f>
        <v>#NAME?</v>
      </c>
    </row>
    <row r="1048563" spans="16384:16384" x14ac:dyDescent="0.2">
      <c r="XFD1048563" t="e" cm="1">
        <f t="array" ref="XFD1048563">solver_acc</f>
        <v>#NAME?</v>
      </c>
    </row>
    <row r="1048564" spans="16384:16384" x14ac:dyDescent="0.2">
      <c r="XFD1048564" t="e" cm="1">
        <f t="array" ref="XFD1048564">solver_res</f>
        <v>#NAME?</v>
      </c>
    </row>
    <row r="1048565" spans="16384:16384" x14ac:dyDescent="0.2">
      <c r="XFD1048565" t="e" cm="1">
        <f t="array" ref="XFD1048565">solver_ars</f>
        <v>#NAME?</v>
      </c>
    </row>
    <row r="1048566" spans="16384:16384" x14ac:dyDescent="0.2">
      <c r="XFD1048566" t="e" cm="1">
        <f t="array" ref="XFD1048566">solver_sta</f>
        <v>#NAME?</v>
      </c>
    </row>
    <row r="1048567" spans="16384:16384" x14ac:dyDescent="0.2">
      <c r="XFD1048567" t="e" cm="1">
        <f t="array" ref="XFD1048567">solver_met</f>
        <v>#NAME?</v>
      </c>
    </row>
    <row r="1048568" spans="16384:16384" x14ac:dyDescent="0.2">
      <c r="XFD1048568" t="e" cm="1">
        <f t="array" ref="XFD1048568">solver_soc</f>
        <v>#NAME?</v>
      </c>
    </row>
    <row r="1048569" spans="16384:16384" x14ac:dyDescent="0.2">
      <c r="XFD1048569" t="e" cm="1">
        <f t="array" ref="XFD1048569">solver_lpt</f>
        <v>#NAME?</v>
      </c>
    </row>
    <row r="1048570" spans="16384:16384" x14ac:dyDescent="0.2">
      <c r="XFD1048570" t="e" cm="1">
        <f t="array" ref="XFD1048570">solver_lpp</f>
        <v>#NAME?</v>
      </c>
    </row>
    <row r="1048571" spans="16384:16384" x14ac:dyDescent="0.2">
      <c r="XFD1048571" t="e" cm="1">
        <f t="array" ref="XFD1048571">solver_gap</f>
        <v>#NAME?</v>
      </c>
    </row>
    <row r="1048572" spans="16384:16384" x14ac:dyDescent="0.2">
      <c r="XFD1048572" t="e" cm="1">
        <f t="array" ref="XFD1048572">solver_ips</f>
        <v>#NAME?</v>
      </c>
    </row>
    <row r="1048573" spans="16384:16384" x14ac:dyDescent="0.2">
      <c r="XFD1048573" t="e" cm="1">
        <f t="array" ref="XFD1048573">solver_fea</f>
        <v>#NAME?</v>
      </c>
    </row>
    <row r="1048574" spans="16384:16384" x14ac:dyDescent="0.2">
      <c r="XFD1048574" t="e" cm="1">
        <f t="array" ref="XFD1048574">solver_ipi</f>
        <v>#NAME?</v>
      </c>
    </row>
    <row r="1048575" spans="16384:16384" x14ac:dyDescent="0.2">
      <c r="XFD1048575" t="e" cm="1">
        <f t="array" ref="XFD1048575">solver_ipd</f>
        <v>#NAME?</v>
      </c>
    </row>
  </sheetData>
  <mergeCells count="1">
    <mergeCell ref="C1:D1"/>
  </mergeCells>
  <pageMargins left="0.7" right="0.7" top="0.75" bottom="0.75" header="0.3" footer="0.3"/>
  <ignoredErrors>
    <ignoredError sqref="C9:C10" formulaRange="1"/>
  </ignoredErrors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049F1B07-E065-9E41-96D1-B9DF9F13B9B0}">
          <xm:f>'Problem 1'!1:1048576</xm:f>
        </x15:webExtension>
        <x15:webExtension appRef="{B76F0100-D086-094F-8A9B-3DC8870B35D2}">
          <xm:f>'Problem 1'!XFD1048550:XFD1048575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0D8E-3A1A-EF43-BE1F-3FCF1A864261}">
  <dimension ref="B1:H14"/>
  <sheetViews>
    <sheetView tabSelected="1" workbookViewId="0">
      <selection activeCell="O17" sqref="O17"/>
    </sheetView>
  </sheetViews>
  <sheetFormatPr baseColWidth="10" defaultRowHeight="16" x14ac:dyDescent="0.2"/>
  <sheetData>
    <row r="1" spans="2:8" x14ac:dyDescent="0.2">
      <c r="C1" s="11"/>
      <c r="D1" s="11"/>
      <c r="E1" s="2"/>
    </row>
    <row r="2" spans="2:8" x14ac:dyDescent="0.2">
      <c r="C2" t="s">
        <v>11</v>
      </c>
      <c r="D2" t="s">
        <v>12</v>
      </c>
      <c r="F2" t="s">
        <v>8</v>
      </c>
    </row>
    <row r="3" spans="2:8" ht="17" x14ac:dyDescent="0.2">
      <c r="B3" s="3" t="s">
        <v>7</v>
      </c>
      <c r="C3" s="5">
        <v>0.5</v>
      </c>
      <c r="D3" s="5">
        <v>0.2</v>
      </c>
      <c r="F3" s="7">
        <f>SUMPRODUCT(C3:D3,$C$7:$D$7)</f>
        <v>20</v>
      </c>
      <c r="G3" t="s">
        <v>10</v>
      </c>
      <c r="H3" s="5">
        <v>20</v>
      </c>
    </row>
    <row r="4" spans="2:8" x14ac:dyDescent="0.2">
      <c r="B4" s="3"/>
      <c r="C4" s="5">
        <v>1</v>
      </c>
      <c r="D4" s="5">
        <v>-1.5</v>
      </c>
      <c r="F4" s="7">
        <f>SUMPRODUCT(C4:D4,$C$7:$D$7)</f>
        <v>0</v>
      </c>
      <c r="G4" t="s">
        <v>9</v>
      </c>
      <c r="H4" s="5">
        <v>0</v>
      </c>
    </row>
    <row r="5" spans="2:8" x14ac:dyDescent="0.2">
      <c r="C5" s="5">
        <v>0</v>
      </c>
      <c r="D5" s="5">
        <v>-5</v>
      </c>
      <c r="F5" s="7">
        <f>C7</f>
        <v>31.578947368421055</v>
      </c>
      <c r="G5" t="s">
        <v>10</v>
      </c>
      <c r="H5" s="5">
        <v>0</v>
      </c>
    </row>
    <row r="7" spans="2:8" x14ac:dyDescent="0.2">
      <c r="B7" t="s">
        <v>13</v>
      </c>
      <c r="C7" s="6">
        <v>31.578947368421055</v>
      </c>
      <c r="D7" s="6">
        <v>21.05263157894737</v>
      </c>
    </row>
    <row r="9" spans="2:8" ht="34" x14ac:dyDescent="0.2">
      <c r="B9" s="3" t="s">
        <v>14</v>
      </c>
      <c r="C9" s="4">
        <f>C7+D7</f>
        <v>52.631578947368425</v>
      </c>
    </row>
    <row r="14" spans="2:8" x14ac:dyDescent="0.2">
      <c r="E14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Gonzalez, Juan</dc:creator>
  <cp:lastModifiedBy>Mejia Gonzalez, Juan</cp:lastModifiedBy>
  <dcterms:created xsi:type="dcterms:W3CDTF">2024-09-02T14:14:51Z</dcterms:created>
  <dcterms:modified xsi:type="dcterms:W3CDTF">2024-09-09T23:27:35Z</dcterms:modified>
</cp:coreProperties>
</file>