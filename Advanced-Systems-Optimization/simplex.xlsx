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1 2025 Spring/Optimization/"/>
    </mc:Choice>
  </mc:AlternateContent>
  <xr:revisionPtr revIDLastSave="49" documentId="8_{E7BCF46E-61EA-8940-8A22-EBA358B374B2}" xr6:coauthVersionLast="47" xr6:coauthVersionMax="47" xr10:uidLastSave="{4E509A1B-705B-3049-871F-822786BE946A}"/>
  <bookViews>
    <workbookView xWindow="680" yWindow="740" windowWidth="28040" windowHeight="17180" activeTab="1" xr2:uid="{91E98751-D4F9-8D4F-8E38-AAF0CEC5C66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 a="1"/>
  <c r="H19" i="1" s="1"/>
  <c r="B24" i="1" a="1"/>
  <c r="B24" i="1" s="1"/>
  <c r="B19" i="1" s="1" a="1"/>
  <c r="B19" i="1" s="1"/>
  <c r="B32" i="1" a="1"/>
  <c r="B32" i="1" s="1"/>
  <c r="B37" i="1" s="1" a="1"/>
  <c r="B37" i="1" s="1"/>
  <c r="B40" i="1" s="1" a="1"/>
  <c r="B40" i="1" s="1"/>
  <c r="H20" i="1" a="1"/>
  <c r="H20" i="1" s="1"/>
  <c r="B20" i="1" a="1"/>
  <c r="B20" i="1" s="1"/>
  <c r="J20" i="1" l="1"/>
  <c r="J22" i="1"/>
  <c r="J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<sst xmlns="http://schemas.openxmlformats.org/spreadsheetml/2006/main" count="52" uniqueCount="27">
  <si>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x1</t>
  </si>
  <si>
    <t>x2</t>
  </si>
  <si>
    <t>s1</t>
  </si>
  <si>
    <t>s2</t>
  </si>
  <si>
    <t>s3</t>
  </si>
  <si>
    <t>a1</t>
  </si>
  <si>
    <t>B</t>
  </si>
  <si>
    <t>x_B</t>
  </si>
  <si>
    <t>x_N</t>
  </si>
  <si>
    <t>N</t>
  </si>
  <si>
    <t>b</t>
  </si>
  <si>
    <t>A</t>
  </si>
  <si>
    <t>z</t>
  </si>
  <si>
    <t>SOL</t>
  </si>
  <si>
    <t>min ratio</t>
  </si>
  <si>
    <t>B^inv</t>
  </si>
  <si>
    <t>C_B</t>
  </si>
  <si>
    <t>C_B*B^inv*A</t>
  </si>
  <si>
    <t>C</t>
  </si>
  <si>
    <t>X</t>
  </si>
  <si>
    <t>C_N</t>
  </si>
  <si>
    <t>C_B*B^inv</t>
  </si>
  <si>
    <t>l1</t>
  </si>
  <si>
    <t>l2</t>
  </si>
  <si>
    <t>l3</t>
  </si>
  <si>
    <t>l4</t>
  </si>
  <si>
    <t>c_B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</si>
</sst>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0" borderId="1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0" fillId="0" borderId="5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800099</xdr:colOff>
      <xdr:row>1</xdr:row>
      <xdr:rowOff>190500</xdr:rowOff>
    </xdr:from>
    <xdr:to>
      <xdr:col>21</xdr:col>
      <xdr:colOff>190090</xdr:colOff>
      <xdr:row>19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C5402-F401-89A5-91B2-B7653DF3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6099" y="393700"/>
          <a:ext cx="6819491" cy="36449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12700</xdr:rowOff>
    </xdr:from>
    <xdr:to>
      <xdr:col>19</xdr:col>
      <xdr:colOff>508691</xdr:colOff>
      <xdr:row>27</xdr:row>
      <xdr:rowOff>47766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2F2F38-1965-9740-8922-187E0E84C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3200" y="4483100"/>
          <a:ext cx="5461691" cy="1051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3507-47A2-5149-A657-EA8670A09F17}">
  <dimension ref="A2:M246"/>
  <sheetViews>
    <sheetView workbookViewId="0">
      <selection activeCell="G32" sqref="G32"/>
    </sheetView>
  </sheetViews>
  <sheetFormatPr baseColWidth="10" defaultRowHeight="16" x14ac:dyDescent="0.2"/>
  <cols>
    <col min="1" max="1" width="22.6640625" customWidth="1"/>
  </cols>
  <sheetData>
    <row r="2" spans="1:13" x14ac:dyDescent="0.2">
      <c r="A2" s="2" t="s">
        <v>19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</row>
    <row r="4" spans="1:13" x14ac:dyDescent="0.2">
      <c r="A4" s="2" t="s">
        <v>18</v>
      </c>
      <c r="B4" s="2">
        <v>3</v>
      </c>
      <c r="C4" s="2">
        <v>2</v>
      </c>
      <c r="D4" s="2">
        <v>0</v>
      </c>
      <c r="E4" s="2">
        <v>100</v>
      </c>
      <c r="F4" s="2">
        <v>0</v>
      </c>
      <c r="G4" s="2">
        <v>0</v>
      </c>
      <c r="I4" s="2" t="s">
        <v>10</v>
      </c>
    </row>
    <row r="6" spans="1:13" x14ac:dyDescent="0.2">
      <c r="A6" s="2" t="s">
        <v>11</v>
      </c>
      <c r="B6" s="3">
        <v>5</v>
      </c>
      <c r="C6" s="4">
        <v>4</v>
      </c>
      <c r="D6" s="4">
        <v>-1</v>
      </c>
      <c r="E6" s="5">
        <v>1</v>
      </c>
      <c r="F6" s="4">
        <v>0</v>
      </c>
      <c r="G6" s="4">
        <v>0</v>
      </c>
      <c r="I6" s="14">
        <v>5</v>
      </c>
    </row>
    <row r="7" spans="1:13" x14ac:dyDescent="0.2">
      <c r="B7" s="7">
        <v>1</v>
      </c>
      <c r="C7" s="15">
        <v>0</v>
      </c>
      <c r="D7" s="15">
        <v>0</v>
      </c>
      <c r="E7" s="8">
        <v>0</v>
      </c>
      <c r="F7" s="15">
        <v>1</v>
      </c>
      <c r="G7" s="15">
        <v>0</v>
      </c>
      <c r="I7" s="12">
        <v>3</v>
      </c>
    </row>
    <row r="8" spans="1:13" x14ac:dyDescent="0.2">
      <c r="B8" s="9">
        <v>0</v>
      </c>
      <c r="C8" s="10">
        <v>1</v>
      </c>
      <c r="D8" s="10">
        <v>0</v>
      </c>
      <c r="E8" s="11">
        <v>0</v>
      </c>
      <c r="F8" s="10">
        <v>0</v>
      </c>
      <c r="G8" s="10">
        <v>1</v>
      </c>
      <c r="I8" s="13">
        <v>2</v>
      </c>
    </row>
    <row r="10" spans="1:13" x14ac:dyDescent="0.2">
      <c r="A10" s="2" t="s">
        <v>7</v>
      </c>
      <c r="B10" s="2" t="s">
        <v>5</v>
      </c>
      <c r="C10" s="2" t="s">
        <v>3</v>
      </c>
      <c r="D10" s="2" t="s">
        <v>4</v>
      </c>
      <c r="E10" s="2"/>
      <c r="F10" s="2" t="s">
        <v>8</v>
      </c>
      <c r="G10" s="2" t="s">
        <v>5</v>
      </c>
      <c r="H10" s="2" t="s">
        <v>1</v>
      </c>
      <c r="I10" s="2" t="s">
        <v>2</v>
      </c>
    </row>
    <row r="12" spans="1:13" x14ac:dyDescent="0.2">
      <c r="A12" s="2"/>
      <c r="B12" s="34">
        <v>4</v>
      </c>
      <c r="C12" s="35">
        <v>0</v>
      </c>
      <c r="D12" s="35">
        <v>0</v>
      </c>
      <c r="E12" s="2"/>
      <c r="F12" s="2"/>
      <c r="G12" s="36">
        <v>1</v>
      </c>
      <c r="H12" s="35">
        <v>5</v>
      </c>
      <c r="I12" s="35">
        <v>-1</v>
      </c>
    </row>
    <row r="13" spans="1:13" x14ac:dyDescent="0.2">
      <c r="A13" s="2" t="s">
        <v>6</v>
      </c>
      <c r="B13" s="25">
        <v>0</v>
      </c>
      <c r="C13" s="22">
        <v>1</v>
      </c>
      <c r="D13" s="22">
        <v>0</v>
      </c>
      <c r="E13" s="2"/>
      <c r="F13" s="2" t="s">
        <v>9</v>
      </c>
      <c r="G13" s="27">
        <v>0</v>
      </c>
      <c r="H13" s="22">
        <v>1</v>
      </c>
      <c r="I13" s="22">
        <v>0</v>
      </c>
    </row>
    <row r="14" spans="1:13" x14ac:dyDescent="0.2">
      <c r="A14" s="2"/>
      <c r="B14" s="26">
        <v>1</v>
      </c>
      <c r="C14" s="19">
        <v>0</v>
      </c>
      <c r="D14" s="19">
        <v>1</v>
      </c>
      <c r="E14" s="2"/>
      <c r="F14" s="2"/>
      <c r="G14" s="28">
        <v>0</v>
      </c>
      <c r="H14" s="19">
        <v>0</v>
      </c>
      <c r="I14" s="19">
        <v>0</v>
      </c>
      <c r="M14" s="1"/>
    </row>
    <row r="15" spans="1:13" x14ac:dyDescent="0.2">
      <c r="A15" s="2"/>
      <c r="M15" s="1"/>
    </row>
    <row r="16" spans="1:13" x14ac:dyDescent="0.2">
      <c r="A16" s="2" t="s">
        <v>16</v>
      </c>
      <c r="B16" s="22">
        <v>2</v>
      </c>
      <c r="C16" s="2">
        <v>0</v>
      </c>
      <c r="D16" s="22">
        <v>0</v>
      </c>
      <c r="F16" t="s">
        <v>20</v>
      </c>
      <c r="G16" s="2">
        <v>3</v>
      </c>
      <c r="H16" s="2">
        <v>2</v>
      </c>
      <c r="I16" s="2">
        <v>0</v>
      </c>
      <c r="M16" s="1"/>
    </row>
    <row r="18" spans="1:12" x14ac:dyDescent="0.2">
      <c r="A18" s="2"/>
      <c r="B18" s="20" t="s">
        <v>0</v>
      </c>
      <c r="C18" s="2" t="s">
        <v>1</v>
      </c>
      <c r="D18" s="2" t="s">
        <v>2</v>
      </c>
      <c r="E18" s="20" t="s">
        <v>5</v>
      </c>
      <c r="F18" s="20" t="s">
        <v>3</v>
      </c>
      <c r="G18" s="2" t="s">
        <v>4</v>
      </c>
      <c r="H18" s="15" t="s">
        <v>13</v>
      </c>
      <c r="I18" s="15"/>
      <c r="J18" s="2"/>
      <c r="L18" s="1"/>
    </row>
    <row r="19" spans="1:12" x14ac:dyDescent="0.2">
      <c r="A19" s="23" t="s">
        <v>12</v>
      </c>
      <c r="B19" s="23" cm="1">
        <f t="array" ref="B19:G19">B24:G24-B4:G4</f>
        <v>-0.5</v>
      </c>
      <c r="C19" s="18">
        <v>0</v>
      </c>
      <c r="D19" s="18">
        <v>-0.5</v>
      </c>
      <c r="E19" s="18">
        <v>-99.5</v>
      </c>
      <c r="F19" s="18">
        <v>0</v>
      </c>
      <c r="G19" s="24">
        <v>0</v>
      </c>
      <c r="H19" s="24" cm="1">
        <f t="array" ref="H19">MMULT(B16:D16,_xlfn.ANCHORARRAY(H20))</f>
        <v>2.5</v>
      </c>
      <c r="J19" s="21"/>
      <c r="L19" s="1"/>
    </row>
    <row r="20" spans="1:12" x14ac:dyDescent="0.2">
      <c r="A20" s="25" t="s">
        <v>1</v>
      </c>
      <c r="B20" s="25" cm="1">
        <f t="array" ref="B20:G22">MMULT(MINVERSE(B12:D14),B6:G8)</f>
        <v>1.25</v>
      </c>
      <c r="C20" s="22">
        <v>1</v>
      </c>
      <c r="D20" s="22">
        <v>-0.25</v>
      </c>
      <c r="E20" s="22">
        <v>0.25</v>
      </c>
      <c r="F20" s="22">
        <v>0</v>
      </c>
      <c r="G20" s="27">
        <v>0</v>
      </c>
      <c r="H20" s="30" cm="1">
        <f t="array" ref="H20:H22">MMULT(MINVERSE(B12:D14),I6:I8)</f>
        <v>1.25</v>
      </c>
      <c r="J20" s="22">
        <f>H20/D20</f>
        <v>-5</v>
      </c>
      <c r="K20" s="20"/>
      <c r="L20" s="17"/>
    </row>
    <row r="21" spans="1:12" x14ac:dyDescent="0.2">
      <c r="A21" s="25" t="s">
        <v>3</v>
      </c>
      <c r="B21" s="25">
        <v>1</v>
      </c>
      <c r="C21" s="22">
        <v>0</v>
      </c>
      <c r="D21" s="22">
        <v>0</v>
      </c>
      <c r="E21" s="22">
        <v>0</v>
      </c>
      <c r="F21" s="22">
        <v>1</v>
      </c>
      <c r="G21" s="27">
        <v>0</v>
      </c>
      <c r="H21" s="6">
        <v>3</v>
      </c>
      <c r="J21" s="22" t="e">
        <f>H21/D21</f>
        <v>#DIV/0!</v>
      </c>
      <c r="K21" s="20" t="s">
        <v>14</v>
      </c>
      <c r="L21" s="16"/>
    </row>
    <row r="22" spans="1:12" x14ac:dyDescent="0.2">
      <c r="A22" s="26" t="s">
        <v>4</v>
      </c>
      <c r="B22" s="26">
        <v>-1.25</v>
      </c>
      <c r="C22" s="19">
        <v>0</v>
      </c>
      <c r="D22" s="19">
        <v>0.25</v>
      </c>
      <c r="E22" s="19">
        <v>-0.25</v>
      </c>
      <c r="F22" s="19">
        <v>0</v>
      </c>
      <c r="G22" s="28">
        <v>1</v>
      </c>
      <c r="H22" s="29">
        <v>0.75</v>
      </c>
      <c r="J22" s="22">
        <f>H22/D22</f>
        <v>3</v>
      </c>
      <c r="K22" s="20"/>
      <c r="L22" s="16"/>
    </row>
    <row r="23" spans="1:12" x14ac:dyDescent="0.2">
      <c r="A23" s="15"/>
      <c r="B23" s="15"/>
      <c r="C23" s="15"/>
      <c r="D23" s="15"/>
      <c r="E23" s="15"/>
      <c r="F23" s="15"/>
      <c r="G23" s="15"/>
      <c r="H23" s="16"/>
      <c r="I23" s="16"/>
      <c r="J23" s="16"/>
      <c r="K23" s="16"/>
    </row>
    <row r="24" spans="1:12" x14ac:dyDescent="0.2">
      <c r="A24" s="15" t="s">
        <v>17</v>
      </c>
      <c r="B24" s="15" cm="1">
        <f t="array" ref="B24:G24">MMULT(MMULT(B16:D16,MINVERSE(B12:D14)),B6:G8)</f>
        <v>2.5</v>
      </c>
      <c r="C24" s="15">
        <v>2</v>
      </c>
      <c r="D24" s="15">
        <v>-0.5</v>
      </c>
      <c r="E24" s="15">
        <v>0.5</v>
      </c>
      <c r="F24" s="15">
        <v>0</v>
      </c>
      <c r="G24" s="15">
        <v>0</v>
      </c>
      <c r="H24" s="16"/>
      <c r="I24" s="15"/>
      <c r="J24" s="15"/>
      <c r="K24" s="16"/>
    </row>
    <row r="25" spans="1:12" x14ac:dyDescent="0.2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2" x14ac:dyDescent="0.2">
      <c r="A26" s="15"/>
      <c r="B26" s="15"/>
      <c r="C26" s="15"/>
      <c r="D26" s="15"/>
      <c r="G26" s="16"/>
      <c r="H26" s="16"/>
      <c r="I26" s="16"/>
      <c r="J26" s="16"/>
      <c r="K26" s="16"/>
    </row>
    <row r="27" spans="1:12" x14ac:dyDescent="0.2">
      <c r="H27" s="16"/>
      <c r="I27" s="16"/>
      <c r="J27" s="15"/>
      <c r="K27" s="16"/>
    </row>
    <row r="28" spans="1:12" x14ac:dyDescent="0.2">
      <c r="H28" s="16"/>
      <c r="I28" s="16"/>
      <c r="J28" s="15"/>
      <c r="K28" s="16"/>
      <c r="L28" s="16"/>
    </row>
    <row r="29" spans="1:12" x14ac:dyDescent="0.2">
      <c r="H29" s="16"/>
      <c r="I29" s="16"/>
      <c r="J29" s="15"/>
      <c r="K29" s="16"/>
      <c r="L29" s="16"/>
    </row>
    <row r="30" spans="1:12" x14ac:dyDescent="0.2">
      <c r="H30" s="16"/>
      <c r="I30" s="16"/>
      <c r="J30" s="16"/>
      <c r="K30" s="16"/>
      <c r="L30" s="16"/>
    </row>
    <row r="31" spans="1:12" x14ac:dyDescent="0.2">
      <c r="H31" s="16"/>
      <c r="I31" s="16"/>
      <c r="J31" s="16"/>
      <c r="K31" s="16"/>
      <c r="L31" s="16"/>
    </row>
    <row r="32" spans="1:12" x14ac:dyDescent="0.2">
      <c r="A32" s="15" t="s">
        <v>15</v>
      </c>
      <c r="B32" s="3" cm="1">
        <f t="array" ref="B32:D34">MINVERSE(B12:D14)</f>
        <v>0.25</v>
      </c>
      <c r="C32" s="4">
        <v>0</v>
      </c>
      <c r="D32" s="5">
        <v>0</v>
      </c>
      <c r="E32" s="16"/>
      <c r="F32" s="16"/>
      <c r="G32" s="16"/>
      <c r="H32" s="16"/>
      <c r="I32" s="16"/>
      <c r="J32" s="16"/>
      <c r="K32" s="16"/>
      <c r="L32" s="16"/>
    </row>
    <row r="33" spans="1:13" x14ac:dyDescent="0.2">
      <c r="A33" s="15"/>
      <c r="B33" s="7">
        <v>0</v>
      </c>
      <c r="C33" s="15">
        <v>1</v>
      </c>
      <c r="D33" s="8">
        <v>0</v>
      </c>
      <c r="E33" s="16"/>
      <c r="F33" s="16"/>
      <c r="G33" s="16"/>
      <c r="H33" s="16"/>
      <c r="I33" s="16"/>
      <c r="J33" s="16"/>
      <c r="K33" s="16"/>
      <c r="L33" s="16"/>
    </row>
    <row r="34" spans="1:13" x14ac:dyDescent="0.2">
      <c r="A34" s="15"/>
      <c r="B34" s="9">
        <v>-0.25</v>
      </c>
      <c r="C34" s="10">
        <v>0</v>
      </c>
      <c r="D34" s="11">
        <v>1</v>
      </c>
      <c r="E34" s="16"/>
      <c r="F34" s="16"/>
      <c r="G34" s="16"/>
      <c r="H34" s="16"/>
      <c r="I34" s="16"/>
      <c r="J34" s="16"/>
      <c r="K34" s="16"/>
      <c r="L34" s="16"/>
    </row>
    <row r="35" spans="1:13" x14ac:dyDescent="0.2">
      <c r="A35" s="16"/>
      <c r="B35" s="16"/>
      <c r="C35" s="15"/>
      <c r="D35" s="15"/>
      <c r="E35" s="16"/>
      <c r="F35" s="16"/>
      <c r="G35" s="16"/>
      <c r="H35" s="16"/>
      <c r="I35" s="16"/>
      <c r="J35" s="16"/>
      <c r="K35" s="16"/>
      <c r="L35" s="16"/>
    </row>
    <row r="36" spans="1:13" x14ac:dyDescent="0.2">
      <c r="A36" s="16"/>
      <c r="B36" s="16"/>
      <c r="C36" s="16"/>
      <c r="D36" s="16"/>
      <c r="E36" s="16"/>
      <c r="F36" s="16"/>
      <c r="G36" s="16"/>
    </row>
    <row r="37" spans="1:13" x14ac:dyDescent="0.2">
      <c r="A37" s="16" t="s">
        <v>21</v>
      </c>
      <c r="B37" s="16" cm="1">
        <f t="array" ref="B37:D37">MMULT(B16:D16,_xlfn.ANCHORARRAY(B32))</f>
        <v>0.5</v>
      </c>
      <c r="C37" s="16">
        <v>0</v>
      </c>
      <c r="D37" s="16">
        <v>0</v>
      </c>
      <c r="E37" s="16"/>
      <c r="F37" s="16"/>
      <c r="G37" s="16"/>
    </row>
    <row r="38" spans="1:13" x14ac:dyDescent="0.2">
      <c r="A38" s="16"/>
      <c r="B38" s="16"/>
      <c r="C38" s="16"/>
      <c r="D38" s="16"/>
      <c r="E38" s="16"/>
      <c r="F38" s="16"/>
      <c r="G38" s="16"/>
    </row>
    <row r="39" spans="1:13" x14ac:dyDescent="0.2">
      <c r="A39" s="16"/>
      <c r="B39" s="16"/>
      <c r="C39" s="16"/>
      <c r="D39" s="16"/>
      <c r="E39" s="16"/>
      <c r="F39" s="16"/>
      <c r="G39" s="16"/>
    </row>
    <row r="40" spans="1:13" x14ac:dyDescent="0.2">
      <c r="A40" s="16" t="s">
        <v>17</v>
      </c>
      <c r="B40" s="16" cm="1">
        <f t="array" ref="B40:G40">MMULT(_xlfn.ANCHORARRAY(B37),B6:G8)</f>
        <v>2.5</v>
      </c>
      <c r="C40" s="16">
        <v>2</v>
      </c>
      <c r="D40" s="16">
        <v>-0.5</v>
      </c>
      <c r="E40" s="16">
        <v>0.5</v>
      </c>
      <c r="F40" s="16">
        <v>0</v>
      </c>
      <c r="G40" s="16">
        <v>0</v>
      </c>
    </row>
    <row r="44" spans="1:13" x14ac:dyDescent="0.2">
      <c r="A44" s="33"/>
      <c r="B44" s="22"/>
      <c r="C44" s="33"/>
      <c r="D44" s="33"/>
      <c r="E44" s="33"/>
      <c r="F44" s="33"/>
      <c r="G44" s="33"/>
      <c r="H44" s="33"/>
      <c r="I44" s="22"/>
      <c r="J44" s="22"/>
      <c r="K44" s="22"/>
      <c r="L44" s="33"/>
      <c r="M44" s="33"/>
    </row>
    <row r="45" spans="1:13" x14ac:dyDescent="0.2">
      <c r="A45" s="3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33"/>
      <c r="M45" s="33"/>
    </row>
    <row r="46" spans="1:13" x14ac:dyDescent="0.2">
      <c r="A46" s="33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33"/>
      <c r="M46" s="33"/>
    </row>
    <row r="47" spans="1:13" x14ac:dyDescent="0.2">
      <c r="A47" s="33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33"/>
      <c r="M47" s="33"/>
    </row>
    <row r="48" spans="1:13" x14ac:dyDescent="0.2">
      <c r="A48" s="33"/>
      <c r="B48" s="22"/>
      <c r="C48" s="33"/>
      <c r="D48" s="33"/>
      <c r="E48" s="33"/>
      <c r="F48" s="33"/>
      <c r="G48" s="33"/>
      <c r="H48" s="33"/>
      <c r="I48" s="22"/>
      <c r="J48" s="33"/>
      <c r="K48" s="22"/>
      <c r="L48" s="33"/>
      <c r="M48" s="33"/>
    </row>
    <row r="49" spans="1:13" x14ac:dyDescent="0.2">
      <c r="A49" s="33"/>
      <c r="B49" s="22"/>
      <c r="C49" s="33"/>
      <c r="D49" s="33"/>
      <c r="E49" s="33"/>
      <c r="F49" s="33"/>
      <c r="G49" s="33"/>
      <c r="H49" s="33"/>
      <c r="I49" s="22"/>
      <c r="J49" s="33"/>
      <c r="K49" s="22"/>
      <c r="L49" s="33"/>
      <c r="M49" s="33"/>
    </row>
    <row r="50" spans="1:13" x14ac:dyDescent="0.2">
      <c r="A50" s="33"/>
      <c r="B50" s="22"/>
      <c r="C50" s="33"/>
      <c r="D50" s="33"/>
      <c r="E50" s="33"/>
      <c r="F50" s="33"/>
      <c r="G50" s="33"/>
      <c r="H50" s="33"/>
      <c r="I50" s="22"/>
      <c r="J50" s="33"/>
      <c r="K50" s="22"/>
      <c r="L50" s="33"/>
      <c r="M50" s="33"/>
    </row>
    <row r="51" spans="1:13" x14ac:dyDescent="0.2">
      <c r="A51" s="33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33"/>
      <c r="M51" s="33"/>
    </row>
    <row r="52" spans="1:13" x14ac:dyDescent="0.2">
      <c r="A52" s="33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33"/>
      <c r="M52" s="33"/>
    </row>
    <row r="53" spans="1:13" x14ac:dyDescent="0.2">
      <c r="A53" s="33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33"/>
      <c r="M53" s="33"/>
    </row>
    <row r="54" spans="1:13" x14ac:dyDescent="0.2">
      <c r="A54" s="33"/>
      <c r="B54" s="22"/>
      <c r="C54" s="22"/>
      <c r="D54" s="22"/>
      <c r="E54" s="22"/>
      <c r="F54" s="22"/>
      <c r="G54" s="22"/>
      <c r="H54" s="22"/>
      <c r="I54" s="22"/>
      <c r="J54" s="33"/>
      <c r="K54" s="22"/>
      <c r="L54" s="33"/>
      <c r="M54" s="33"/>
    </row>
    <row r="55" spans="1:13" x14ac:dyDescent="0.2">
      <c r="A55" s="33"/>
      <c r="B55" s="22"/>
      <c r="C55" s="22"/>
      <c r="D55" s="22"/>
      <c r="E55" s="22"/>
      <c r="F55" s="22"/>
      <c r="G55" s="22"/>
      <c r="H55" s="33"/>
      <c r="I55" s="33"/>
      <c r="J55" s="33"/>
      <c r="K55" s="22"/>
      <c r="L55" s="33"/>
      <c r="M55" s="33"/>
    </row>
    <row r="56" spans="1:13" x14ac:dyDescent="0.2">
      <c r="A56" s="33"/>
      <c r="B56" s="22"/>
      <c r="C56" s="22"/>
      <c r="D56" s="22"/>
      <c r="E56" s="22"/>
      <c r="F56" s="22"/>
      <c r="G56" s="22"/>
      <c r="H56" s="33"/>
      <c r="I56" s="33"/>
      <c r="J56" s="33"/>
      <c r="K56" s="22"/>
      <c r="L56" s="33"/>
      <c r="M56" s="33"/>
    </row>
    <row r="57" spans="1:13" x14ac:dyDescent="0.2">
      <c r="A57" s="33"/>
      <c r="B57" s="22"/>
      <c r="C57" s="22"/>
      <c r="D57" s="22"/>
      <c r="E57" s="22"/>
      <c r="F57" s="22"/>
      <c r="G57" s="22"/>
      <c r="H57" s="33"/>
      <c r="I57" s="33"/>
      <c r="J57" s="33"/>
      <c r="K57" s="22"/>
      <c r="L57" s="33"/>
      <c r="M57" s="33"/>
    </row>
    <row r="58" spans="1:13" x14ac:dyDescent="0.2">
      <c r="A58" s="33"/>
      <c r="B58" s="22"/>
      <c r="C58" s="22"/>
      <c r="D58" s="22"/>
      <c r="E58" s="22"/>
      <c r="F58" s="22"/>
      <c r="G58" s="22"/>
      <c r="H58" s="22"/>
      <c r="I58" s="22"/>
      <c r="J58" s="33"/>
      <c r="K58" s="22"/>
      <c r="L58" s="33"/>
      <c r="M58" s="33"/>
    </row>
    <row r="59" spans="1:13" x14ac:dyDescent="0.2">
      <c r="A59" s="33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33"/>
      <c r="M59" s="33"/>
    </row>
    <row r="60" spans="1:13" x14ac:dyDescent="0.2">
      <c r="A60" s="33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33"/>
      <c r="M60" s="33"/>
    </row>
    <row r="61" spans="1:13" x14ac:dyDescent="0.2">
      <c r="A61" s="33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33"/>
      <c r="M61" s="33"/>
    </row>
    <row r="62" spans="1:13" x14ac:dyDescent="0.2">
      <c r="A62" s="33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33"/>
      <c r="M62" s="33"/>
    </row>
    <row r="63" spans="1:13" x14ac:dyDescent="0.2">
      <c r="A63" s="3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33"/>
      <c r="M63" s="33"/>
    </row>
    <row r="64" spans="1:13" x14ac:dyDescent="0.2">
      <c r="A64" s="33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33"/>
      <c r="M64" s="33"/>
    </row>
    <row r="65" spans="1:13" x14ac:dyDescent="0.2">
      <c r="A65" s="3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33"/>
      <c r="M65" s="33"/>
    </row>
    <row r="66" spans="1:13" x14ac:dyDescent="0.2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 x14ac:dyDescent="0.2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3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1:13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 spans="1:13" x14ac:dyDescent="0.2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spans="1:13" x14ac:dyDescent="0.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3" x14ac:dyDescent="0.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spans="1:13" x14ac:dyDescent="0.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 spans="1:13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 spans="1:13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 spans="1:13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spans="1:13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 spans="1:13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 spans="1:13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3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3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 spans="1:13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 spans="1:13" x14ac:dyDescent="0.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spans="1:13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 spans="1:13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spans="1:13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x14ac:dyDescent="0.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 spans="1:13" x14ac:dyDescent="0.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 spans="1:13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 spans="1:13" x14ac:dyDescent="0.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 spans="1:13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 spans="1:13" x14ac:dyDescent="0.2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 spans="1:13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spans="1:13" x14ac:dyDescent="0.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3" x14ac:dyDescent="0.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 spans="1:13" x14ac:dyDescent="0.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 spans="1:13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 spans="1:13" x14ac:dyDescent="0.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1:13" x14ac:dyDescent="0.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spans="1:13" x14ac:dyDescent="0.2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spans="1:13" x14ac:dyDescent="0.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 spans="1:13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spans="1:13" x14ac:dyDescent="0.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 spans="1:13" x14ac:dyDescent="0.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 spans="1:13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 spans="1:13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 spans="1:13" x14ac:dyDescent="0.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 spans="1:13" x14ac:dyDescent="0.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 spans="1:13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 spans="1:13" x14ac:dyDescent="0.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 spans="1:13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 spans="1:13" x14ac:dyDescent="0.2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 spans="1:13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spans="1:13" x14ac:dyDescent="0.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 spans="1:13" x14ac:dyDescent="0.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 spans="1:13" x14ac:dyDescent="0.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 spans="1:13" x14ac:dyDescent="0.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 spans="1:13" x14ac:dyDescent="0.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spans="1:13" x14ac:dyDescent="0.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 spans="1:13" x14ac:dyDescent="0.2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 spans="1:13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 spans="1:13" x14ac:dyDescent="0.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 spans="1:13" x14ac:dyDescent="0.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 spans="1:13" x14ac:dyDescent="0.2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 spans="1:13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x14ac:dyDescent="0.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spans="1:13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 spans="1:13" x14ac:dyDescent="0.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 spans="1:13" x14ac:dyDescent="0.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1:13" x14ac:dyDescent="0.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 spans="1:13" x14ac:dyDescent="0.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 spans="1:13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 spans="1:13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 spans="1:13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 spans="1:13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 spans="1:13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 spans="1:13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 spans="1:13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 spans="1:13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 spans="1:13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 spans="1:13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 spans="1:13" x14ac:dyDescent="0.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 spans="1:13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 spans="1:13" x14ac:dyDescent="0.2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 spans="1:13" x14ac:dyDescent="0.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 spans="1:13" x14ac:dyDescent="0.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 spans="1:13" x14ac:dyDescent="0.2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 spans="1:13" x14ac:dyDescent="0.2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 spans="1:13" x14ac:dyDescent="0.2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 spans="1:13" x14ac:dyDescent="0.2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 spans="1:13" x14ac:dyDescent="0.2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 spans="1:13" x14ac:dyDescent="0.2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 spans="1:13" x14ac:dyDescent="0.2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 spans="1:13" x14ac:dyDescent="0.2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 spans="1:13" x14ac:dyDescent="0.2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 spans="1:13" x14ac:dyDescent="0.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 spans="1:13" x14ac:dyDescent="0.2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 spans="1:13" x14ac:dyDescent="0.2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 spans="1:13" x14ac:dyDescent="0.2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 spans="1:13" x14ac:dyDescent="0.2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 spans="1:13" x14ac:dyDescent="0.2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 spans="1:13" x14ac:dyDescent="0.2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 spans="1:13" x14ac:dyDescent="0.2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 spans="1:13" x14ac:dyDescent="0.2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 spans="1:13" x14ac:dyDescent="0.2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 spans="1:13" x14ac:dyDescent="0.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 spans="1:13" x14ac:dyDescent="0.2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 spans="1:13" x14ac:dyDescent="0.2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 spans="1:13" x14ac:dyDescent="0.2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 spans="1:13" x14ac:dyDescent="0.2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 spans="1:13" x14ac:dyDescent="0.2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 spans="1:13" x14ac:dyDescent="0.2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 spans="1:13" x14ac:dyDescent="0.2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 spans="1:13" x14ac:dyDescent="0.2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 spans="1:13" x14ac:dyDescent="0.2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 spans="1:13" x14ac:dyDescent="0.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 spans="1:13" x14ac:dyDescent="0.2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 spans="1:13" x14ac:dyDescent="0.2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 spans="1:13" x14ac:dyDescent="0.2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 spans="1:13" x14ac:dyDescent="0.2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 spans="1:13" x14ac:dyDescent="0.2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 spans="1:13" x14ac:dyDescent="0.2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 spans="1:13" x14ac:dyDescent="0.2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 spans="1:13" x14ac:dyDescent="0.2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 spans="1:13" x14ac:dyDescent="0.2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 spans="1:13" x14ac:dyDescent="0.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 spans="1:13" x14ac:dyDescent="0.2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 spans="1:13" x14ac:dyDescent="0.2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 spans="1:13" x14ac:dyDescent="0.2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 spans="1:13" x14ac:dyDescent="0.2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 spans="1:13" x14ac:dyDescent="0.2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 spans="1:13" x14ac:dyDescent="0.2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 spans="1:13" x14ac:dyDescent="0.2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 spans="1:13" x14ac:dyDescent="0.2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 spans="1:13" x14ac:dyDescent="0.2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 spans="1:13" x14ac:dyDescent="0.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 spans="1:13" x14ac:dyDescent="0.2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 spans="1:13" x14ac:dyDescent="0.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 spans="1:13" x14ac:dyDescent="0.2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 spans="1:13" x14ac:dyDescent="0.2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 spans="1:13" x14ac:dyDescent="0.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 spans="1:13" x14ac:dyDescent="0.2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 spans="1:13" x14ac:dyDescent="0.2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 spans="1:13" x14ac:dyDescent="0.2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 spans="1:13" x14ac:dyDescent="0.2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 spans="1:13" x14ac:dyDescent="0.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 spans="1:13" x14ac:dyDescent="0.2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 spans="1:13" x14ac:dyDescent="0.2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 spans="1:13" x14ac:dyDescent="0.2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 spans="1:13" x14ac:dyDescent="0.2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 spans="1:13" x14ac:dyDescent="0.2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 spans="1:13" x14ac:dyDescent="0.2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 spans="1:13" x14ac:dyDescent="0.2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 spans="1:13" x14ac:dyDescent="0.2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 spans="1:13" x14ac:dyDescent="0.2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 spans="1:13" x14ac:dyDescent="0.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 spans="1:13" x14ac:dyDescent="0.2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 spans="1:13" x14ac:dyDescent="0.2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 spans="1:13" x14ac:dyDescent="0.2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 spans="1:13" x14ac:dyDescent="0.2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 spans="1:13" x14ac:dyDescent="0.2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 spans="1:13" x14ac:dyDescent="0.2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 spans="1:13" x14ac:dyDescent="0.2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 spans="1:13" x14ac:dyDescent="0.2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 spans="1:13" x14ac:dyDescent="0.2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 spans="1:13" x14ac:dyDescent="0.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 spans="1:13" x14ac:dyDescent="0.2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 spans="1:13" x14ac:dyDescent="0.2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 spans="1:13" x14ac:dyDescent="0.2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 spans="1:13" x14ac:dyDescent="0.2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 spans="1:13" x14ac:dyDescent="0.2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 spans="1:13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 spans="1:13" x14ac:dyDescent="0.2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 spans="1:13" x14ac:dyDescent="0.2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 spans="1:13" x14ac:dyDescent="0.2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 spans="1:13" x14ac:dyDescent="0.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 spans="1:13" x14ac:dyDescent="0.2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 spans="1:13" x14ac:dyDescent="0.2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 spans="1:13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 spans="1:13" x14ac:dyDescent="0.2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9B43-7466-DE46-8852-1790BBDC3199}">
  <dimension ref="A1:J37"/>
  <sheetViews>
    <sheetView tabSelected="1" workbookViewId="0">
      <selection activeCell="E16" sqref="E16"/>
    </sheetView>
  </sheetViews>
  <sheetFormatPr baseColWidth="10" defaultRowHeight="16" x14ac:dyDescent="0.2"/>
  <sheetData>
    <row r="1" spans="1:10" x14ac:dyDescent="0.2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">
      <c r="A2" s="22" t="s">
        <v>18</v>
      </c>
      <c r="B2" s="2"/>
      <c r="C2" s="2">
        <v>3</v>
      </c>
      <c r="D2" s="2">
        <v>2</v>
      </c>
      <c r="E2" s="2">
        <v>0</v>
      </c>
      <c r="F2" s="2">
        <v>0</v>
      </c>
      <c r="G2" s="2">
        <v>0</v>
      </c>
      <c r="H2" s="22">
        <v>100</v>
      </c>
      <c r="I2" s="33"/>
      <c r="J2" s="33"/>
    </row>
    <row r="3" spans="1:10" x14ac:dyDescent="0.2">
      <c r="A3" s="2"/>
      <c r="B3" s="2"/>
      <c r="C3" s="2"/>
      <c r="D3" s="2"/>
      <c r="E3" s="2"/>
      <c r="F3" s="2"/>
      <c r="G3" s="2"/>
      <c r="H3" s="2"/>
      <c r="I3" s="33"/>
      <c r="J3" s="33"/>
    </row>
    <row r="4" spans="1:10" x14ac:dyDescent="0.2">
      <c r="A4" s="22" t="s">
        <v>19</v>
      </c>
      <c r="B4" s="2"/>
      <c r="C4" s="22" t="s">
        <v>22</v>
      </c>
      <c r="D4" s="22" t="s">
        <v>23</v>
      </c>
      <c r="E4" s="22" t="s">
        <v>24</v>
      </c>
      <c r="F4" s="22" t="s">
        <v>25</v>
      </c>
      <c r="G4" s="22" t="s">
        <v>2</v>
      </c>
      <c r="H4" s="22" t="s">
        <v>5</v>
      </c>
      <c r="I4" s="33"/>
      <c r="J4" s="22" t="s">
        <v>10</v>
      </c>
    </row>
    <row r="5" spans="1:10" x14ac:dyDescent="0.2">
      <c r="I5" s="33"/>
      <c r="J5" s="33"/>
    </row>
    <row r="6" spans="1:10" x14ac:dyDescent="0.2">
      <c r="A6" s="22" t="s">
        <v>11</v>
      </c>
      <c r="B6" s="2"/>
      <c r="C6" s="31">
        <v>0</v>
      </c>
      <c r="D6" s="31">
        <v>9</v>
      </c>
      <c r="E6" s="31">
        <v>13</v>
      </c>
      <c r="F6" s="31">
        <v>4</v>
      </c>
      <c r="G6" s="31">
        <v>-1</v>
      </c>
      <c r="H6" s="31">
        <v>1</v>
      </c>
      <c r="I6" s="33"/>
      <c r="J6" s="31">
        <v>5</v>
      </c>
    </row>
    <row r="7" spans="1:10" x14ac:dyDescent="0.2">
      <c r="A7" s="22"/>
      <c r="B7" s="2"/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0</v>
      </c>
      <c r="I7" s="33"/>
      <c r="J7" s="31">
        <v>1</v>
      </c>
    </row>
    <row r="8" spans="1:10" x14ac:dyDescent="0.2">
      <c r="A8" s="22"/>
      <c r="B8" s="31"/>
      <c r="C8" s="31"/>
      <c r="D8" s="31"/>
      <c r="E8" s="31"/>
      <c r="F8" s="31"/>
      <c r="G8" s="31"/>
      <c r="H8" s="31"/>
      <c r="I8" s="33"/>
      <c r="J8" s="33"/>
    </row>
    <row r="9" spans="1:10" x14ac:dyDescent="0.2">
      <c r="A9" s="22"/>
      <c r="B9" s="31" t="s">
        <v>5</v>
      </c>
      <c r="C9" s="31" t="s">
        <v>22</v>
      </c>
      <c r="D9" s="31"/>
      <c r="E9" s="31"/>
      <c r="F9" s="31"/>
      <c r="G9" s="31"/>
      <c r="H9" s="31"/>
      <c r="I9" s="33"/>
      <c r="J9" s="33"/>
    </row>
    <row r="10" spans="1:10" x14ac:dyDescent="0.2">
      <c r="A10" s="22" t="s">
        <v>7</v>
      </c>
      <c r="B10" s="31">
        <v>1</v>
      </c>
      <c r="C10" s="31">
        <v>0</v>
      </c>
      <c r="D10" s="31"/>
      <c r="E10" s="31"/>
      <c r="F10" s="31"/>
      <c r="G10" s="31"/>
      <c r="H10" s="31"/>
      <c r="I10" s="33"/>
      <c r="J10" s="33"/>
    </row>
    <row r="11" spans="1:10" x14ac:dyDescent="0.2">
      <c r="A11" s="22"/>
      <c r="B11" s="31">
        <v>0</v>
      </c>
      <c r="C11" s="31">
        <v>1</v>
      </c>
      <c r="D11" s="31"/>
      <c r="E11" s="31"/>
      <c r="F11" s="31"/>
      <c r="G11" s="31"/>
      <c r="H11" s="31"/>
      <c r="I11" s="33"/>
      <c r="J11" s="33"/>
    </row>
    <row r="12" spans="1:10" x14ac:dyDescent="0.2">
      <c r="A12" s="22"/>
      <c r="B12" s="31"/>
      <c r="C12" s="31"/>
      <c r="D12" s="31"/>
      <c r="E12" s="31"/>
      <c r="F12" s="31"/>
      <c r="G12" s="31"/>
      <c r="H12" s="31"/>
      <c r="I12" s="33"/>
      <c r="J12" s="33"/>
    </row>
    <row r="13" spans="1:10" x14ac:dyDescent="0.2">
      <c r="A13" s="22" t="s">
        <v>26</v>
      </c>
      <c r="B13" s="31">
        <v>100</v>
      </c>
      <c r="C13" s="31">
        <v>3</v>
      </c>
      <c r="D13" s="31"/>
      <c r="E13" s="31"/>
      <c r="F13" s="31"/>
      <c r="G13" s="31"/>
      <c r="H13" s="31"/>
      <c r="I13" s="33"/>
      <c r="J13" s="33"/>
    </row>
    <row r="14" spans="1:10" x14ac:dyDescent="0.2">
      <c r="A14" s="22"/>
      <c r="B14" s="31"/>
      <c r="C14" s="31"/>
      <c r="D14" s="31"/>
      <c r="E14" s="31"/>
      <c r="F14" s="31"/>
      <c r="G14" s="31"/>
      <c r="H14" s="31"/>
      <c r="I14" s="33"/>
      <c r="J14" s="33"/>
    </row>
    <row r="15" spans="1:10" x14ac:dyDescent="0.2">
      <c r="A15" s="22"/>
      <c r="B15" s="31"/>
      <c r="C15" s="31"/>
      <c r="D15" s="31"/>
      <c r="E15" s="31"/>
      <c r="F15" s="31"/>
      <c r="G15" s="31"/>
      <c r="H15" s="31"/>
      <c r="I15" s="31"/>
      <c r="J15" s="33"/>
    </row>
    <row r="16" spans="1:10" x14ac:dyDescent="0.2">
      <c r="A16" s="22"/>
      <c r="B16" s="31"/>
      <c r="C16" s="31"/>
      <c r="D16" s="31"/>
      <c r="E16" s="31"/>
      <c r="F16" s="31"/>
      <c r="G16" s="31"/>
      <c r="H16" s="31"/>
      <c r="I16" s="31"/>
      <c r="J16" s="33"/>
    </row>
    <row r="17" spans="1:10" x14ac:dyDescent="0.2">
      <c r="A17" s="22"/>
      <c r="B17" s="31"/>
      <c r="C17" s="31"/>
      <c r="D17" s="31"/>
      <c r="E17" s="31"/>
      <c r="F17" s="31"/>
      <c r="G17" s="31"/>
      <c r="H17" s="31"/>
      <c r="I17" s="31"/>
      <c r="J17" s="33"/>
    </row>
    <row r="18" spans="1:10" x14ac:dyDescent="0.2">
      <c r="A18" s="22"/>
      <c r="B18" s="31"/>
      <c r="C18" s="31"/>
      <c r="D18" s="31"/>
      <c r="E18" s="31"/>
      <c r="F18" s="31"/>
      <c r="G18" s="31"/>
      <c r="H18" s="31"/>
      <c r="I18" s="33"/>
      <c r="J18" s="33"/>
    </row>
    <row r="19" spans="1:10" x14ac:dyDescent="0.2">
      <c r="A19" s="22"/>
      <c r="B19" s="31"/>
      <c r="C19" s="31"/>
      <c r="D19" s="31"/>
      <c r="E19" s="31"/>
      <c r="F19" s="31"/>
      <c r="G19" s="31"/>
      <c r="H19" s="31"/>
      <c r="I19" s="33"/>
      <c r="J19" s="33"/>
    </row>
    <row r="20" spans="1:10" x14ac:dyDescent="0.2">
      <c r="A20" s="22"/>
      <c r="B20" s="31"/>
      <c r="C20" s="31"/>
      <c r="D20" s="31"/>
      <c r="E20" s="31"/>
      <c r="F20" s="31"/>
      <c r="G20" s="31"/>
      <c r="H20" s="31"/>
      <c r="I20" s="33"/>
      <c r="J20" s="33"/>
    </row>
    <row r="21" spans="1:10" x14ac:dyDescent="0.2">
      <c r="A21" s="22"/>
      <c r="B21" s="31"/>
      <c r="C21" s="31"/>
      <c r="D21" s="31"/>
      <c r="E21" s="31"/>
      <c r="F21" s="31"/>
      <c r="G21" s="31"/>
      <c r="H21" s="31"/>
      <c r="I21" s="33"/>
      <c r="J21" s="33"/>
    </row>
    <row r="22" spans="1:10" x14ac:dyDescent="0.2">
      <c r="A22" s="22"/>
      <c r="B22" s="31"/>
      <c r="C22" s="31"/>
      <c r="D22" s="31"/>
      <c r="E22" s="31"/>
      <c r="F22" s="31"/>
      <c r="G22" s="31"/>
      <c r="H22" s="31"/>
      <c r="I22" s="33"/>
      <c r="J22" s="33"/>
    </row>
    <row r="23" spans="1:10" x14ac:dyDescent="0.2">
      <c r="A23" s="22"/>
      <c r="B23" s="31"/>
      <c r="C23" s="31"/>
      <c r="D23" s="31"/>
      <c r="E23" s="31"/>
      <c r="F23" s="31"/>
      <c r="G23" s="31"/>
      <c r="H23" s="31"/>
      <c r="I23" s="33"/>
      <c r="J23" s="33"/>
    </row>
    <row r="24" spans="1:10" x14ac:dyDescent="0.2">
      <c r="A24" s="22"/>
      <c r="B24" s="31"/>
      <c r="C24" s="31"/>
      <c r="D24" s="31"/>
      <c r="E24" s="31"/>
      <c r="F24" s="31"/>
      <c r="G24" s="31"/>
      <c r="H24" s="31"/>
      <c r="I24" s="33"/>
      <c r="J24" s="33"/>
    </row>
    <row r="25" spans="1:10" x14ac:dyDescent="0.2">
      <c r="A25" s="22"/>
      <c r="B25" s="31"/>
      <c r="C25" s="31"/>
      <c r="D25" s="31"/>
      <c r="E25" s="31"/>
      <c r="F25" s="31"/>
      <c r="G25" s="31"/>
      <c r="H25" s="31"/>
      <c r="I25" s="33"/>
      <c r="J25" s="33"/>
    </row>
    <row r="26" spans="1:10" x14ac:dyDescent="0.2">
      <c r="A26" s="22"/>
      <c r="B26" s="31"/>
      <c r="C26" s="31"/>
      <c r="D26" s="31"/>
      <c r="E26" s="31"/>
      <c r="F26" s="31"/>
      <c r="G26" s="31"/>
      <c r="H26" s="31"/>
      <c r="I26" s="33"/>
      <c r="J26" s="33"/>
    </row>
    <row r="27" spans="1:10" x14ac:dyDescent="0.2">
      <c r="A27" s="22"/>
      <c r="B27" s="31"/>
      <c r="C27" s="31"/>
      <c r="D27" s="31"/>
      <c r="E27" s="31"/>
      <c r="F27" s="31"/>
      <c r="G27" s="31"/>
      <c r="H27" s="31"/>
      <c r="I27" s="33"/>
      <c r="J27" s="33"/>
    </row>
    <row r="28" spans="1:10" x14ac:dyDescent="0.2">
      <c r="A28" s="22"/>
      <c r="B28" s="31"/>
      <c r="C28" s="31"/>
      <c r="D28" s="31"/>
      <c r="E28" s="31"/>
      <c r="F28" s="31"/>
      <c r="G28" s="31"/>
      <c r="H28" s="31"/>
      <c r="I28" s="33"/>
      <c r="J28" s="33"/>
    </row>
    <row r="29" spans="1:10" x14ac:dyDescent="0.2">
      <c r="A29" s="22"/>
      <c r="B29" s="31"/>
      <c r="C29" s="31"/>
      <c r="D29" s="31"/>
      <c r="E29" s="31"/>
      <c r="F29" s="31"/>
      <c r="G29" s="31"/>
      <c r="H29" s="31"/>
      <c r="I29" s="33"/>
      <c r="J29" s="33"/>
    </row>
    <row r="30" spans="1:10" x14ac:dyDescent="0.2">
      <c r="A30" s="22"/>
      <c r="B30" s="31"/>
      <c r="C30" s="31"/>
      <c r="D30" s="31"/>
      <c r="E30" s="31"/>
      <c r="F30" s="31"/>
      <c r="G30" s="31"/>
      <c r="H30" s="31"/>
      <c r="I30" s="33"/>
      <c r="J30" s="33"/>
    </row>
    <row r="31" spans="1:10" x14ac:dyDescent="0.2">
      <c r="A31" s="2"/>
      <c r="B31" s="32"/>
      <c r="C31" s="32"/>
      <c r="D31" s="32"/>
      <c r="E31" s="32"/>
      <c r="F31" s="32"/>
      <c r="G31" s="32"/>
      <c r="H31" s="32"/>
    </row>
    <row r="32" spans="1:10" x14ac:dyDescent="0.2">
      <c r="A32" s="2"/>
      <c r="B32" s="32"/>
      <c r="C32" s="32"/>
      <c r="D32" s="32"/>
      <c r="E32" s="32"/>
      <c r="F32" s="32"/>
      <c r="G32" s="32"/>
      <c r="H32" s="32"/>
    </row>
    <row r="33" spans="2:8" x14ac:dyDescent="0.2">
      <c r="B33" s="32"/>
      <c r="C33" s="32"/>
      <c r="D33" s="32"/>
      <c r="E33" s="32"/>
      <c r="F33" s="32"/>
      <c r="G33" s="32"/>
      <c r="H33" s="32"/>
    </row>
    <row r="34" spans="2:8" x14ac:dyDescent="0.2">
      <c r="B34" s="32"/>
      <c r="C34" s="32"/>
      <c r="D34" s="32"/>
      <c r="E34" s="32"/>
      <c r="F34" s="32"/>
      <c r="G34" s="32"/>
      <c r="H34" s="32"/>
    </row>
    <row r="35" spans="2:8" x14ac:dyDescent="0.2">
      <c r="B35" s="32"/>
      <c r="C35" s="32"/>
      <c r="D35" s="32"/>
      <c r="E35" s="32"/>
      <c r="F35" s="32"/>
      <c r="G35" s="32"/>
      <c r="H35" s="32"/>
    </row>
    <row r="36" spans="2:8" x14ac:dyDescent="0.2">
      <c r="B36" s="32"/>
      <c r="C36" s="32"/>
      <c r="D36" s="32"/>
      <c r="E36" s="32"/>
      <c r="F36" s="32"/>
      <c r="G36" s="32"/>
      <c r="H36" s="32"/>
    </row>
    <row r="37" spans="2:8" x14ac:dyDescent="0.2">
      <c r="B37" s="32"/>
      <c r="C37" s="32"/>
      <c r="D37" s="32"/>
      <c r="E37" s="32"/>
      <c r="F37" s="32"/>
      <c r="G37" s="32"/>
      <c r="H37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Gonzalez, Juan</dc:creator>
  <cp:lastModifiedBy>Mejia Gonzalez, Juan</cp:lastModifiedBy>
  <dcterms:created xsi:type="dcterms:W3CDTF">2025-03-11T18:58:47Z</dcterms:created>
  <dcterms:modified xsi:type="dcterms:W3CDTF">2025-03-13T18:15:48Z</dcterms:modified>
</cp:coreProperties>
</file>