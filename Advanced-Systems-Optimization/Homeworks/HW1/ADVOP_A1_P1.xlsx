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1 2025 Spring/Optimization/Homeworks/HW1/"/>
    </mc:Choice>
  </mc:AlternateContent>
  <xr:revisionPtr revIDLastSave="780" documentId="8_{22272ADB-4BB5-4E72-BD39-A8E24C55508B}" xr6:coauthVersionLast="47" xr6:coauthVersionMax="47" xr10:uidLastSave="{68CC05B7-5A15-1648-85D2-99D0A917D1D4}"/>
  <bookViews>
    <workbookView xWindow="0" yWindow="740" windowWidth="29400" windowHeight="17160" activeTab="3" xr2:uid="{FD87487F-5BAD-49F6-91AE-9A6B33F3151E}"/>
  </bookViews>
  <sheets>
    <sheet name="Primal Problem" sheetId="1" r:id="rId1"/>
    <sheet name="Sensitivity - Constraints" sheetId="4" r:id="rId2"/>
    <sheet name="Dual Problem" sheetId="3" r:id="rId3"/>
    <sheet name="Sensitivity - Profit" sheetId="5" r:id="rId4"/>
    <sheet name="CLASSWORK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 a="1"/>
  <c r="D20" i="1" s="1"/>
  <c r="P7" i="4" a="1"/>
  <c r="P7" i="4" s="1"/>
  <c r="C11" i="4" a="1"/>
  <c r="C11" i="4" s="1"/>
  <c r="C12" i="5" a="1"/>
  <c r="C12" i="5" s="1"/>
  <c r="F20" i="5" s="1" a="1"/>
  <c r="F20" i="5" s="1"/>
  <c r="K21" i="1"/>
  <c r="J21" i="1" a="1"/>
  <c r="J21" i="1" s="1"/>
  <c r="J20" i="1" a="1"/>
  <c r="J20" i="1" s="1"/>
  <c r="D21" i="1" a="1"/>
  <c r="D21" i="1" s="1"/>
  <c r="G22" i="5"/>
  <c r="G21" i="5"/>
  <c r="C8" i="5" a="1"/>
  <c r="C8" i="5" s="1"/>
  <c r="C7" i="4" a="1"/>
  <c r="C7" i="4" s="1"/>
  <c r="I15" i="4" s="1" a="1"/>
  <c r="I15" i="4" s="1"/>
  <c r="J91" i="3" a="1"/>
  <c r="J90" i="3" a="1"/>
  <c r="J90" i="3" s="1"/>
  <c r="J67" i="3" a="1"/>
  <c r="J66" i="3" a="1"/>
  <c r="J66" i="3" s="1"/>
  <c r="J43" i="3" a="1"/>
  <c r="J42" i="3" a="1"/>
  <c r="J42" i="3" s="1"/>
  <c r="J19" i="3" a="1"/>
  <c r="J19" i="3" s="1"/>
  <c r="J18" i="3" a="1"/>
  <c r="J18" i="3" s="1"/>
  <c r="C5" i="3" a="1"/>
  <c r="C5" i="3" s="1"/>
  <c r="D19" i="3" s="1" a="1"/>
  <c r="D19" i="3" s="1"/>
  <c r="F26" i="5" l="1"/>
  <c r="F29" i="5" s="1"/>
  <c r="C29" i="3" a="1"/>
  <c r="C29" i="3" s="1"/>
  <c r="F16" i="5" a="1"/>
  <c r="F16" i="5" s="1"/>
  <c r="I16" i="5" a="1"/>
  <c r="I16" i="5" s="1"/>
  <c r="I20" i="5" s="1" a="1"/>
  <c r="I26" i="5" s="1"/>
  <c r="I29" i="5" s="1"/>
  <c r="C16" i="5" a="1"/>
  <c r="C16" i="5" s="1"/>
  <c r="C20" i="5" s="1" a="1"/>
  <c r="C26" i="5" s="1"/>
  <c r="C15" i="4" a="1"/>
  <c r="C15" i="4" s="1"/>
  <c r="F15" i="4" a="1"/>
  <c r="F15" i="4" s="1"/>
  <c r="J91" i="3"/>
  <c r="J67" i="3"/>
  <c r="J43" i="3"/>
  <c r="D43" i="3" a="1"/>
  <c r="K19" i="3"/>
  <c r="D18" i="3" a="1"/>
  <c r="D18" i="3" s="1"/>
  <c r="K21" i="3"/>
  <c r="K20" i="3"/>
  <c r="D43" i="3" l="1"/>
  <c r="K44" i="3"/>
  <c r="K43" i="3"/>
  <c r="K45" i="3"/>
  <c r="D42" i="3" a="1"/>
  <c r="D42" i="3" s="1"/>
  <c r="C53" i="3" a="1"/>
  <c r="C53" i="3" s="1"/>
  <c r="C20" i="5"/>
  <c r="C29" i="5"/>
  <c r="I20" i="5"/>
  <c r="I27" i="5"/>
  <c r="I30" i="5" s="1"/>
  <c r="C27" i="5"/>
  <c r="C30" i="5" s="1"/>
  <c r="F27" i="5"/>
  <c r="F30" i="5" s="1"/>
  <c r="F19" i="4" a="1"/>
  <c r="I19" i="4" a="1"/>
  <c r="C19" i="4" a="1"/>
  <c r="C19" i="4" s="1"/>
  <c r="C77" i="3" l="1" a="1"/>
  <c r="C77" i="3" s="1"/>
  <c r="D67" i="3" a="1"/>
  <c r="D66" i="3" a="1"/>
  <c r="D66" i="3" s="1"/>
  <c r="F19" i="4"/>
  <c r="F26" i="4" s="1"/>
  <c r="F29" i="4" s="1"/>
  <c r="F25" i="4"/>
  <c r="F28" i="4" s="1"/>
  <c r="C25" i="4"/>
  <c r="C28" i="4" s="1"/>
  <c r="C26" i="4"/>
  <c r="C29" i="4" s="1"/>
  <c r="I19" i="4"/>
  <c r="I26" i="4" l="1"/>
  <c r="I29" i="4" s="1"/>
  <c r="I25" i="4"/>
  <c r="I28" i="4" s="1"/>
  <c r="D67" i="3"/>
  <c r="K69" i="3"/>
  <c r="K68" i="3"/>
  <c r="K67" i="3"/>
  <c r="D91" i="3" a="1"/>
  <c r="D90" i="3" a="1"/>
  <c r="D90" i="3" s="1"/>
  <c r="J96" i="1" a="1"/>
  <c r="D96" i="1" a="1"/>
  <c r="D96" i="1" s="1"/>
  <c r="B96" i="1" a="1"/>
  <c r="B96" i="1" s="1"/>
  <c r="J95" i="1" a="1"/>
  <c r="J95" i="1" s="1"/>
  <c r="D95" i="1" a="1"/>
  <c r="D95" i="1" s="1"/>
  <c r="J71" i="1" a="1"/>
  <c r="J71" i="1" s="1"/>
  <c r="D71" i="1" a="1"/>
  <c r="B71" i="1" a="1"/>
  <c r="B71" i="1" s="1"/>
  <c r="J70" i="1" a="1"/>
  <c r="J70" i="1" s="1"/>
  <c r="D70" i="1" a="1"/>
  <c r="D70" i="1" s="1"/>
  <c r="J46" i="1" a="1"/>
  <c r="D46" i="1" a="1"/>
  <c r="D46" i="1" s="1"/>
  <c r="B46" i="1" a="1"/>
  <c r="B46" i="1" s="1"/>
  <c r="J45" i="1" a="1"/>
  <c r="J45" i="1" s="1"/>
  <c r="D45" i="1" a="1"/>
  <c r="D45" i="1" s="1"/>
  <c r="B21" i="1" a="1"/>
  <c r="B21" i="1" s="1"/>
  <c r="J78" i="2" a="1"/>
  <c r="D78" i="2" a="1"/>
  <c r="D78" i="2" s="1"/>
  <c r="B78" i="2" a="1"/>
  <c r="B78" i="2" s="1"/>
  <c r="J77" i="2" a="1"/>
  <c r="J77" i="2" s="1"/>
  <c r="D77" i="2" a="1"/>
  <c r="D77" i="2" s="1"/>
  <c r="J51" i="2" a="1"/>
  <c r="J51" i="2" s="1"/>
  <c r="K51" i="2" s="1"/>
  <c r="D50" i="2" a="1"/>
  <c r="D50" i="2" s="1"/>
  <c r="J50" i="2" a="1"/>
  <c r="J50" i="2" s="1"/>
  <c r="D51" i="2" a="1"/>
  <c r="D51" i="2" s="1"/>
  <c r="B51" i="2" a="1"/>
  <c r="B51" i="2" s="1"/>
  <c r="K25" i="2"/>
  <c r="K26" i="2"/>
  <c r="J24" i="2" a="1"/>
  <c r="J24" i="2" s="1"/>
  <c r="K24" i="2" s="1"/>
  <c r="D24" i="2" a="1"/>
  <c r="D24" i="2" s="1"/>
  <c r="D23" i="2" a="1"/>
  <c r="D23" i="2" s="1"/>
  <c r="J23" i="2" a="1"/>
  <c r="J23" i="2" s="1"/>
  <c r="B24" i="2" a="1"/>
  <c r="B24" i="2" s="1"/>
  <c r="D91" i="3" l="1"/>
  <c r="K93" i="3"/>
  <c r="K92" i="3"/>
  <c r="K91" i="3"/>
  <c r="K47" i="1"/>
  <c r="K48" i="1"/>
  <c r="K72" i="1"/>
  <c r="K73" i="1"/>
  <c r="J96" i="1"/>
  <c r="D71" i="1"/>
  <c r="K71" i="1" s="1"/>
  <c r="J46" i="1"/>
  <c r="K46" i="1" s="1"/>
  <c r="K23" i="1"/>
  <c r="K22" i="1"/>
  <c r="K54" i="2"/>
  <c r="K53" i="2"/>
  <c r="K52" i="2"/>
  <c r="K27" i="2"/>
  <c r="K81" i="2"/>
  <c r="J78" i="2"/>
  <c r="K78" i="2" s="1"/>
  <c r="K79" i="2"/>
  <c r="K8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<sst xmlns="http://schemas.openxmlformats.org/spreadsheetml/2006/main" count="473" uniqueCount="58">
  <si>
    <t>z</t>
  </si>
  <si>
    <t>x1</t>
  </si>
  <si>
    <t>x2</t>
  </si>
  <si>
    <t>s1</t>
  </si>
  <si>
    <t>s2</t>
  </si>
  <si>
    <t>SOL</t>
  </si>
  <si>
    <t>P1</t>
  </si>
  <si>
    <t>P2</t>
  </si>
  <si>
    <t>P3</t>
  </si>
  <si>
    <t>s3</t>
  </si>
  <si>
    <t>c^T</t>
  </si>
  <si>
    <t>s4</t>
  </si>
  <si>
    <t>A</t>
  </si>
  <si>
    <t>b</t>
  </si>
  <si>
    <t>x^T</t>
  </si>
  <si>
    <t>P4</t>
  </si>
  <si>
    <t>P5</t>
  </si>
  <si>
    <t>P6</t>
  </si>
  <si>
    <t>x_N</t>
  </si>
  <si>
    <t>x_B</t>
  </si>
  <si>
    <t>N</t>
  </si>
  <si>
    <t>B</t>
  </si>
  <si>
    <t>c^T_B</t>
  </si>
  <si>
    <t>c^T_N</t>
  </si>
  <si>
    <t xml:space="preserve">min ratio </t>
  </si>
  <si>
    <t>must be strictly positive</t>
  </si>
  <si>
    <t>iteration 2</t>
  </si>
  <si>
    <t>iteration 3</t>
  </si>
  <si>
    <t>OPTIMAL BC REDUCED COST +</t>
  </si>
  <si>
    <t>min ratio</t>
  </si>
  <si>
    <t xml:space="preserve">Initial </t>
  </si>
  <si>
    <t>Feasible</t>
  </si>
  <si>
    <t>Solution</t>
  </si>
  <si>
    <t>iteration 4</t>
  </si>
  <si>
    <t>b^T</t>
  </si>
  <si>
    <t>A^T</t>
  </si>
  <si>
    <t>w^T</t>
  </si>
  <si>
    <t>w1</t>
  </si>
  <si>
    <t>w2</t>
  </si>
  <si>
    <t>w3</t>
  </si>
  <si>
    <t>c</t>
  </si>
  <si>
    <t>b^T_B</t>
  </si>
  <si>
    <t>B^-1</t>
  </si>
  <si>
    <t>B^-1 * b</t>
  </si>
  <si>
    <t>Labor</t>
  </si>
  <si>
    <t>Material</t>
  </si>
  <si>
    <t>B^-1 * e_1</t>
  </si>
  <si>
    <t>B^-1 * e_2</t>
  </si>
  <si>
    <t>B^-1 * e_3</t>
  </si>
  <si>
    <t xml:space="preserve">allowable </t>
  </si>
  <si>
    <t>decrease</t>
  </si>
  <si>
    <t>increase</t>
  </si>
  <si>
    <t>Optimal</t>
  </si>
  <si>
    <t>e_1</t>
  </si>
  <si>
    <t>e_2</t>
  </si>
  <si>
    <t>e_3</t>
  </si>
  <si>
    <t>Machine Time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</si>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</sst>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2" xfId="0" applyFont="1" applyBorder="1"/>
    <xf numFmtId="0" fontId="1" fillId="0" borderId="11" xfId="0" applyFont="1" applyBorder="1"/>
    <xf numFmtId="0" fontId="3" fillId="0" borderId="12" xfId="0" applyFont="1" applyBorder="1"/>
    <xf numFmtId="0" fontId="3" fillId="0" borderId="11" xfId="0" applyFont="1" applyBorder="1"/>
    <xf numFmtId="0" fontId="3" fillId="0" borderId="0" xfId="0" applyFont="1"/>
    <xf numFmtId="0" fontId="1" fillId="0" borderId="10" xfId="0" applyFont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228600</xdr:colOff>
      <xdr:row>10</xdr:row>
      <xdr:rowOff>146050</xdr:rowOff>
    </xdr:from>
    <xdr:to>
      <xdr:col>21</xdr:col>
      <xdr:colOff>305491</xdr:colOff>
      <xdr:row>16</xdr:row>
      <xdr:rowOff>54116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81D23-D61D-3ACB-8CC1-16099D890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0" y="1987550"/>
          <a:ext cx="4953691" cy="10129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12</xdr:row>
      <xdr:rowOff>25400</xdr:rowOff>
    </xdr:from>
    <xdr:to>
      <xdr:col>18</xdr:col>
      <xdr:colOff>264239</xdr:colOff>
      <xdr:row>21</xdr:row>
      <xdr:rowOff>120895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78FCC-BD3E-66EB-B74C-5355349E7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0200" y="2235200"/>
          <a:ext cx="5115639" cy="175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65B0-BCD1-4EC4-A6B3-DFA84C552AE4}">
  <dimension ref="A2:N98"/>
  <sheetViews>
    <sheetView workbookViewId="0">
      <selection activeCell="E20" sqref="E20"/>
    </sheetView>
  </sheetViews>
  <sheetFormatPr baseColWidth="10" defaultColWidth="8.83203125" defaultRowHeight="15" x14ac:dyDescent="0.2"/>
  <sheetData>
    <row r="2" spans="1:14" x14ac:dyDescent="0.2">
      <c r="B2" s="1" t="s">
        <v>14</v>
      </c>
      <c r="C2" t="s">
        <v>6</v>
      </c>
      <c r="D2" t="s">
        <v>7</v>
      </c>
      <c r="E2" t="s">
        <v>8</v>
      </c>
      <c r="F2" t="s">
        <v>3</v>
      </c>
      <c r="G2" t="s">
        <v>4</v>
      </c>
      <c r="H2" t="s">
        <v>9</v>
      </c>
      <c r="I2" s="1"/>
      <c r="J2" s="1"/>
      <c r="K2" s="1"/>
      <c r="L2" s="1"/>
      <c r="M2" s="1"/>
    </row>
    <row r="3" spans="1:14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x14ac:dyDescent="0.2">
      <c r="B4" s="1" t="s">
        <v>10</v>
      </c>
      <c r="C4" s="1">
        <v>50</v>
      </c>
      <c r="D4" s="1">
        <v>40</v>
      </c>
      <c r="E4" s="1">
        <v>60</v>
      </c>
      <c r="F4" s="1">
        <v>0</v>
      </c>
      <c r="G4" s="1">
        <v>0</v>
      </c>
      <c r="H4" s="1">
        <v>0</v>
      </c>
      <c r="I4" s="1"/>
      <c r="J4" s="1"/>
      <c r="K4" s="1"/>
      <c r="L4" s="1"/>
      <c r="M4" s="1"/>
    </row>
    <row r="5" spans="1:14" x14ac:dyDescent="0.2">
      <c r="B5" s="1"/>
      <c r="C5" s="1"/>
      <c r="D5" s="1"/>
      <c r="E5" s="1"/>
      <c r="F5" s="1"/>
      <c r="G5" s="1"/>
      <c r="H5" s="1"/>
      <c r="I5" s="1"/>
      <c r="J5" s="1" t="s">
        <v>13</v>
      </c>
      <c r="K5" s="1"/>
      <c r="L5" s="1"/>
    </row>
    <row r="6" spans="1:14" x14ac:dyDescent="0.2">
      <c r="B6" s="1" t="s">
        <v>12</v>
      </c>
      <c r="C6" s="25">
        <v>2</v>
      </c>
      <c r="D6" s="26">
        <v>3</v>
      </c>
      <c r="E6" s="26">
        <v>1</v>
      </c>
      <c r="F6" s="26">
        <v>1</v>
      </c>
      <c r="G6" s="26">
        <v>0</v>
      </c>
      <c r="H6" s="27">
        <v>0</v>
      </c>
      <c r="I6" s="1"/>
      <c r="J6" s="34">
        <v>120</v>
      </c>
      <c r="K6" s="1"/>
      <c r="L6" s="1"/>
    </row>
    <row r="7" spans="1:14" x14ac:dyDescent="0.2">
      <c r="B7" s="1"/>
      <c r="C7" s="28">
        <v>4</v>
      </c>
      <c r="D7">
        <v>2</v>
      </c>
      <c r="E7">
        <v>5</v>
      </c>
      <c r="F7">
        <v>0</v>
      </c>
      <c r="G7">
        <v>1</v>
      </c>
      <c r="H7" s="29">
        <v>0</v>
      </c>
      <c r="I7" s="1"/>
      <c r="J7" s="35">
        <v>100</v>
      </c>
      <c r="K7" s="1"/>
      <c r="L7" s="1"/>
    </row>
    <row r="8" spans="1:14" x14ac:dyDescent="0.2">
      <c r="B8" s="1"/>
      <c r="C8" s="28">
        <v>1</v>
      </c>
      <c r="D8">
        <v>2</v>
      </c>
      <c r="E8">
        <v>3</v>
      </c>
      <c r="F8">
        <v>0</v>
      </c>
      <c r="G8">
        <v>0</v>
      </c>
      <c r="H8" s="29">
        <v>1</v>
      </c>
      <c r="I8" s="1"/>
      <c r="J8" s="36">
        <v>90</v>
      </c>
      <c r="K8" s="1"/>
      <c r="L8" s="1"/>
    </row>
    <row r="9" spans="1:14" x14ac:dyDescent="0.2">
      <c r="B9" s="1"/>
      <c r="C9" s="12" t="s">
        <v>6</v>
      </c>
      <c r="D9" s="13" t="s">
        <v>7</v>
      </c>
      <c r="E9" s="13" t="s">
        <v>8</v>
      </c>
      <c r="F9" s="13" t="s">
        <v>15</v>
      </c>
      <c r="G9" s="13" t="s">
        <v>16</v>
      </c>
      <c r="H9" s="14" t="s">
        <v>17</v>
      </c>
      <c r="I9" s="1"/>
      <c r="J9" s="1"/>
      <c r="K9" s="1"/>
      <c r="L9" s="1"/>
    </row>
    <row r="10" spans="1:14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4" x14ac:dyDescent="0.2">
      <c r="A11" t="s">
        <v>30</v>
      </c>
      <c r="B11" s="1" t="s">
        <v>19</v>
      </c>
      <c r="C11" s="1" t="s">
        <v>3</v>
      </c>
      <c r="D11" s="1" t="s">
        <v>4</v>
      </c>
      <c r="E11" s="1" t="s">
        <v>9</v>
      </c>
      <c r="F11" s="1"/>
      <c r="G11" s="1" t="s">
        <v>18</v>
      </c>
      <c r="H11" s="1" t="s">
        <v>6</v>
      </c>
      <c r="I11" s="1" t="s">
        <v>7</v>
      </c>
      <c r="J11" s="1" t="s">
        <v>8</v>
      </c>
      <c r="K11" s="1"/>
      <c r="L11" s="1"/>
      <c r="N11" s="33"/>
    </row>
    <row r="12" spans="1:14" x14ac:dyDescent="0.2">
      <c r="A12" t="s">
        <v>31</v>
      </c>
      <c r="B12" s="1"/>
      <c r="C12" s="1"/>
      <c r="D12" s="1"/>
      <c r="E12" s="1"/>
      <c r="F12" s="1"/>
      <c r="G12" s="1"/>
      <c r="H12" s="1"/>
      <c r="I12" s="1"/>
      <c r="K12" s="1"/>
      <c r="L12" s="1"/>
    </row>
    <row r="13" spans="1:14" x14ac:dyDescent="0.2">
      <c r="A13" t="s">
        <v>32</v>
      </c>
      <c r="B13" s="1"/>
      <c r="C13" s="2">
        <v>1</v>
      </c>
      <c r="D13" s="3">
        <v>0</v>
      </c>
      <c r="E13" s="4">
        <v>0</v>
      </c>
      <c r="F13" s="1"/>
      <c r="G13" s="1"/>
      <c r="H13" s="25">
        <v>2</v>
      </c>
      <c r="I13" s="26">
        <v>3</v>
      </c>
      <c r="J13" s="27">
        <v>1</v>
      </c>
      <c r="K13" s="1"/>
      <c r="L13" s="1"/>
    </row>
    <row r="14" spans="1:14" x14ac:dyDescent="0.2">
      <c r="B14" s="1" t="s">
        <v>21</v>
      </c>
      <c r="C14" s="5">
        <v>0</v>
      </c>
      <c r="D14" s="1">
        <v>1</v>
      </c>
      <c r="E14" s="6">
        <v>0</v>
      </c>
      <c r="F14" s="1"/>
      <c r="G14" s="1" t="s">
        <v>20</v>
      </c>
      <c r="H14" s="28">
        <v>4</v>
      </c>
      <c r="I14">
        <v>2</v>
      </c>
      <c r="J14" s="29">
        <v>5</v>
      </c>
      <c r="K14" s="1"/>
      <c r="L14" s="1"/>
    </row>
    <row r="15" spans="1:14" x14ac:dyDescent="0.2">
      <c r="B15" s="1"/>
      <c r="C15" s="7">
        <v>0</v>
      </c>
      <c r="D15" s="8">
        <v>0</v>
      </c>
      <c r="E15" s="9">
        <v>1</v>
      </c>
      <c r="F15" s="1"/>
      <c r="G15" s="1"/>
      <c r="H15" s="30">
        <v>1</v>
      </c>
      <c r="I15" s="31">
        <v>2</v>
      </c>
      <c r="J15" s="32">
        <v>3</v>
      </c>
      <c r="K15" s="1"/>
      <c r="L15" s="1"/>
    </row>
    <row r="16" spans="1:14" x14ac:dyDescent="0.2">
      <c r="B16" s="1"/>
      <c r="C16" s="1"/>
      <c r="D16" s="1"/>
      <c r="E16" s="1"/>
      <c r="F16" s="1"/>
      <c r="G16" s="1"/>
      <c r="H16" s="1"/>
      <c r="I16" s="1"/>
      <c r="K16" s="1"/>
      <c r="L16" s="1"/>
    </row>
    <row r="17" spans="1:13" x14ac:dyDescent="0.2">
      <c r="B17" s="1" t="s">
        <v>22</v>
      </c>
      <c r="C17" s="1">
        <v>0</v>
      </c>
      <c r="D17" s="1">
        <v>0</v>
      </c>
      <c r="E17" s="1">
        <v>0</v>
      </c>
      <c r="F17" s="1"/>
      <c r="G17" s="1" t="s">
        <v>23</v>
      </c>
      <c r="H17" s="1">
        <v>50</v>
      </c>
      <c r="I17" s="1">
        <v>40</v>
      </c>
      <c r="J17" s="1">
        <v>60</v>
      </c>
      <c r="K17" s="1"/>
      <c r="L17" s="1"/>
    </row>
    <row r="18" spans="1:13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3" x14ac:dyDescent="0.2">
      <c r="B19" s="1"/>
      <c r="C19" s="15" t="s">
        <v>0</v>
      </c>
      <c r="D19" s="13" t="s">
        <v>6</v>
      </c>
      <c r="E19" s="13" t="s">
        <v>7</v>
      </c>
      <c r="F19" s="16" t="s">
        <v>8</v>
      </c>
      <c r="G19" s="13" t="s">
        <v>3</v>
      </c>
      <c r="H19" s="13" t="s">
        <v>4</v>
      </c>
      <c r="I19" s="14" t="s">
        <v>9</v>
      </c>
      <c r="J19" s="4" t="s">
        <v>5</v>
      </c>
      <c r="K19" s="1"/>
      <c r="L19" s="1"/>
    </row>
    <row r="20" spans="1:13" x14ac:dyDescent="0.2">
      <c r="B20" s="15" t="s">
        <v>0</v>
      </c>
      <c r="C20" s="15">
        <v>1</v>
      </c>
      <c r="D20" s="13" cm="1">
        <f t="array" ref="D20:I20">MMULT(MMULT(C17:E17,MINVERSE(C13:E15)),C6:H8)-C4:H4</f>
        <v>-50</v>
      </c>
      <c r="E20" s="13">
        <v>-40</v>
      </c>
      <c r="F20" s="16">
        <v>-60</v>
      </c>
      <c r="G20" s="13">
        <v>0</v>
      </c>
      <c r="H20" s="13">
        <v>0</v>
      </c>
      <c r="I20" s="13">
        <v>0</v>
      </c>
      <c r="J20" s="15" cm="1">
        <f t="array" ref="J20">MMULT(MMULT(C17:E17,MINVERSE(C13:E15)),J6:J8)</f>
        <v>0</v>
      </c>
      <c r="K20" s="1" t="s">
        <v>29</v>
      </c>
      <c r="L20" s="1"/>
    </row>
    <row r="21" spans="1:13" x14ac:dyDescent="0.2">
      <c r="B21" s="10" t="str" cm="1">
        <f t="array" ref="B21:B23">TRANSPOSE(C11:E11)</f>
        <v>s1</v>
      </c>
      <c r="C21" s="10">
        <v>0</v>
      </c>
      <c r="D21" s="1" cm="1">
        <f t="array" ref="D21:I23">MMULT(MINVERSE(C13:E15),C6:H8)</f>
        <v>2</v>
      </c>
      <c r="E21" s="1">
        <v>3</v>
      </c>
      <c r="F21" s="17">
        <v>1</v>
      </c>
      <c r="G21" s="1">
        <v>1</v>
      </c>
      <c r="H21" s="1">
        <v>0</v>
      </c>
      <c r="I21" s="6">
        <v>0</v>
      </c>
      <c r="J21" s="10" cm="1">
        <f t="array" ref="J21:J23">MMULT(MINVERSE(C13:E15),J6:J8)</f>
        <v>120</v>
      </c>
      <c r="K21" s="1">
        <f>J21/F21</f>
        <v>120</v>
      </c>
      <c r="M21" s="20" t="s">
        <v>25</v>
      </c>
    </row>
    <row r="22" spans="1:13" x14ac:dyDescent="0.2">
      <c r="B22" s="21" t="str">
        <v>s2</v>
      </c>
      <c r="C22" s="21">
        <v>0</v>
      </c>
      <c r="D22" s="17">
        <v>4</v>
      </c>
      <c r="E22" s="17">
        <v>2</v>
      </c>
      <c r="F22" s="17">
        <v>5</v>
      </c>
      <c r="G22" s="17">
        <v>0</v>
      </c>
      <c r="H22" s="17">
        <v>1</v>
      </c>
      <c r="I22" s="22">
        <v>0</v>
      </c>
      <c r="J22" s="21">
        <v>100</v>
      </c>
      <c r="K22" s="17">
        <f t="shared" ref="K22:K23" si="0">J22/F22</f>
        <v>20</v>
      </c>
      <c r="L22" s="1"/>
    </row>
    <row r="23" spans="1:13" x14ac:dyDescent="0.2">
      <c r="B23" s="11" t="str">
        <v>s3</v>
      </c>
      <c r="C23" s="11">
        <v>0</v>
      </c>
      <c r="D23" s="8">
        <v>1</v>
      </c>
      <c r="E23" s="8">
        <v>2</v>
      </c>
      <c r="F23" s="18">
        <v>3</v>
      </c>
      <c r="G23" s="8">
        <v>0</v>
      </c>
      <c r="H23" s="8">
        <v>0</v>
      </c>
      <c r="I23" s="9">
        <v>1</v>
      </c>
      <c r="J23" s="11">
        <v>90</v>
      </c>
      <c r="K23" s="1">
        <f t="shared" si="0"/>
        <v>30</v>
      </c>
      <c r="L23" s="1"/>
    </row>
    <row r="24" spans="1:13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3" s="39" customFormat="1" x14ac:dyDescent="0.2"/>
    <row r="26" spans="1:13" x14ac:dyDescent="0.2">
      <c r="A26" t="s">
        <v>26</v>
      </c>
    </row>
    <row r="27" spans="1:13" x14ac:dyDescent="0.2">
      <c r="B27" s="1" t="s">
        <v>14</v>
      </c>
      <c r="C27" t="s">
        <v>6</v>
      </c>
      <c r="D27" t="s">
        <v>7</v>
      </c>
      <c r="E27" t="s">
        <v>8</v>
      </c>
      <c r="F27" t="s">
        <v>3</v>
      </c>
      <c r="G27" t="s">
        <v>4</v>
      </c>
      <c r="H27" t="s">
        <v>9</v>
      </c>
      <c r="I27" s="1"/>
      <c r="J27" s="1"/>
      <c r="K27" s="1"/>
    </row>
    <row r="28" spans="1:13" x14ac:dyDescent="0.2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3" x14ac:dyDescent="0.2">
      <c r="B29" s="1" t="s">
        <v>10</v>
      </c>
      <c r="C29" s="1">
        <v>50</v>
      </c>
      <c r="D29" s="1">
        <v>40</v>
      </c>
      <c r="E29" s="1">
        <v>60</v>
      </c>
      <c r="F29" s="1">
        <v>0</v>
      </c>
      <c r="G29" s="1">
        <v>0</v>
      </c>
      <c r="H29" s="1">
        <v>0</v>
      </c>
      <c r="I29" s="1"/>
      <c r="J29" s="1"/>
      <c r="K29" s="1"/>
    </row>
    <row r="30" spans="1:13" x14ac:dyDescent="0.2">
      <c r="B30" s="1"/>
      <c r="C30" s="1"/>
      <c r="D30" s="1"/>
      <c r="E30" s="1"/>
      <c r="F30" s="1"/>
      <c r="G30" s="1"/>
      <c r="H30" s="1"/>
      <c r="I30" s="1"/>
      <c r="J30" s="1" t="s">
        <v>13</v>
      </c>
      <c r="K30" s="1"/>
    </row>
    <row r="31" spans="1:13" x14ac:dyDescent="0.2">
      <c r="B31" s="1" t="s">
        <v>12</v>
      </c>
      <c r="C31" s="25">
        <v>2</v>
      </c>
      <c r="D31" s="26">
        <v>3</v>
      </c>
      <c r="E31" s="26">
        <v>1</v>
      </c>
      <c r="F31" s="26">
        <v>1</v>
      </c>
      <c r="G31" s="26">
        <v>0</v>
      </c>
      <c r="H31" s="27">
        <v>0</v>
      </c>
      <c r="I31" s="1"/>
      <c r="J31" s="34">
        <v>120</v>
      </c>
      <c r="K31" s="1"/>
    </row>
    <row r="32" spans="1:13" x14ac:dyDescent="0.2">
      <c r="B32" s="1"/>
      <c r="C32" s="28">
        <v>4</v>
      </c>
      <c r="D32">
        <v>2</v>
      </c>
      <c r="E32">
        <v>5</v>
      </c>
      <c r="F32">
        <v>0</v>
      </c>
      <c r="G32">
        <v>1</v>
      </c>
      <c r="H32" s="29">
        <v>0</v>
      </c>
      <c r="I32" s="1"/>
      <c r="J32" s="35">
        <v>100</v>
      </c>
      <c r="K32" s="1"/>
    </row>
    <row r="33" spans="2:11" x14ac:dyDescent="0.2">
      <c r="B33" s="1"/>
      <c r="C33" s="28">
        <v>1</v>
      </c>
      <c r="D33">
        <v>2</v>
      </c>
      <c r="E33">
        <v>3</v>
      </c>
      <c r="F33">
        <v>0</v>
      </c>
      <c r="G33">
        <v>0</v>
      </c>
      <c r="H33" s="29">
        <v>1</v>
      </c>
      <c r="I33" s="1"/>
      <c r="J33" s="36">
        <v>90</v>
      </c>
      <c r="K33" s="1"/>
    </row>
    <row r="34" spans="2:11" x14ac:dyDescent="0.2">
      <c r="B34" s="1"/>
      <c r="C34" s="12" t="s">
        <v>6</v>
      </c>
      <c r="D34" s="13" t="s">
        <v>7</v>
      </c>
      <c r="E34" s="13" t="s">
        <v>8</v>
      </c>
      <c r="F34" s="13" t="s">
        <v>15</v>
      </c>
      <c r="G34" s="13" t="s">
        <v>16</v>
      </c>
      <c r="H34" s="14" t="s">
        <v>17</v>
      </c>
      <c r="I34" s="1"/>
      <c r="J34" s="1"/>
      <c r="K34" s="1"/>
    </row>
    <row r="35" spans="2:1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 x14ac:dyDescent="0.2">
      <c r="B36" s="1" t="s">
        <v>19</v>
      </c>
      <c r="C36" s="1" t="s">
        <v>3</v>
      </c>
      <c r="D36" s="1" t="s">
        <v>8</v>
      </c>
      <c r="E36" s="1" t="s">
        <v>9</v>
      </c>
      <c r="F36" s="1"/>
      <c r="G36" s="1" t="s">
        <v>18</v>
      </c>
      <c r="H36" s="1" t="s">
        <v>6</v>
      </c>
      <c r="I36" s="1" t="s">
        <v>7</v>
      </c>
      <c r="J36" s="1" t="s">
        <v>4</v>
      </c>
      <c r="K36" s="1"/>
    </row>
    <row r="37" spans="2:11" x14ac:dyDescent="0.2">
      <c r="B37" s="1"/>
      <c r="C37" s="1"/>
      <c r="E37" s="1"/>
      <c r="F37" s="1"/>
      <c r="G37" s="1"/>
      <c r="H37" s="1"/>
      <c r="I37" s="1"/>
      <c r="J37" s="1"/>
      <c r="K37" s="1"/>
    </row>
    <row r="38" spans="2:11" x14ac:dyDescent="0.2">
      <c r="B38" s="1"/>
      <c r="C38" s="2">
        <v>1</v>
      </c>
      <c r="D38" s="26">
        <v>1</v>
      </c>
      <c r="E38" s="4">
        <v>0</v>
      </c>
      <c r="F38" s="1"/>
      <c r="G38" s="1"/>
      <c r="H38" s="25">
        <v>2</v>
      </c>
      <c r="I38" s="26">
        <v>3</v>
      </c>
      <c r="J38" s="4">
        <v>0</v>
      </c>
      <c r="K38" s="1"/>
    </row>
    <row r="39" spans="2:11" x14ac:dyDescent="0.2">
      <c r="B39" s="1" t="s">
        <v>21</v>
      </c>
      <c r="C39" s="5">
        <v>0</v>
      </c>
      <c r="D39">
        <v>5</v>
      </c>
      <c r="E39" s="6">
        <v>0</v>
      </c>
      <c r="F39" s="1"/>
      <c r="G39" s="1" t="s">
        <v>20</v>
      </c>
      <c r="H39" s="28">
        <v>4</v>
      </c>
      <c r="I39">
        <v>2</v>
      </c>
      <c r="J39" s="6">
        <v>1</v>
      </c>
      <c r="K39" s="1"/>
    </row>
    <row r="40" spans="2:11" x14ac:dyDescent="0.2">
      <c r="B40" s="1"/>
      <c r="C40" s="7">
        <v>0</v>
      </c>
      <c r="D40" s="31">
        <v>3</v>
      </c>
      <c r="E40" s="9">
        <v>1</v>
      </c>
      <c r="F40" s="1"/>
      <c r="G40" s="1"/>
      <c r="H40" s="30">
        <v>1</v>
      </c>
      <c r="I40" s="31">
        <v>2</v>
      </c>
      <c r="J40" s="9">
        <v>0</v>
      </c>
      <c r="K40" s="1"/>
    </row>
    <row r="41" spans="2:11" x14ac:dyDescent="0.2">
      <c r="B41" s="1"/>
      <c r="C41" s="1"/>
      <c r="E41" s="1"/>
      <c r="F41" s="1"/>
      <c r="G41" s="1"/>
      <c r="H41" s="1"/>
      <c r="I41" s="1"/>
      <c r="J41" s="1"/>
      <c r="K41" s="1"/>
    </row>
    <row r="42" spans="2:11" x14ac:dyDescent="0.2">
      <c r="B42" s="1" t="s">
        <v>22</v>
      </c>
      <c r="C42" s="1">
        <v>0</v>
      </c>
      <c r="D42" s="1">
        <v>60</v>
      </c>
      <c r="E42" s="1">
        <v>0</v>
      </c>
      <c r="F42" s="1"/>
      <c r="G42" s="1" t="s">
        <v>23</v>
      </c>
      <c r="H42" s="1">
        <v>50</v>
      </c>
      <c r="I42" s="1">
        <v>40</v>
      </c>
      <c r="J42" s="1">
        <v>0</v>
      </c>
      <c r="K42" s="1"/>
    </row>
    <row r="43" spans="2:1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11" x14ac:dyDescent="0.2">
      <c r="B44" s="1"/>
      <c r="C44" s="15" t="s">
        <v>0</v>
      </c>
      <c r="D44" s="13" t="s">
        <v>6</v>
      </c>
      <c r="E44" s="16" t="s">
        <v>7</v>
      </c>
      <c r="F44" s="13" t="s">
        <v>8</v>
      </c>
      <c r="G44" s="13" t="s">
        <v>3</v>
      </c>
      <c r="H44" s="13" t="s">
        <v>4</v>
      </c>
      <c r="I44" s="14" t="s">
        <v>9</v>
      </c>
      <c r="J44" s="4" t="s">
        <v>5</v>
      </c>
      <c r="K44" s="1"/>
    </row>
    <row r="45" spans="2:11" x14ac:dyDescent="0.2">
      <c r="B45" s="15" t="s">
        <v>0</v>
      </c>
      <c r="C45" s="15">
        <v>1</v>
      </c>
      <c r="D45" s="13" cm="1">
        <f t="array" ref="D45:I45">MMULT(MMULT(C42:E42,MINVERSE(C38:E40)),C31:H33)-C29:H29</f>
        <v>-2</v>
      </c>
      <c r="E45" s="16">
        <v>-16</v>
      </c>
      <c r="F45" s="13">
        <v>0</v>
      </c>
      <c r="G45" s="13">
        <v>0</v>
      </c>
      <c r="H45" s="13">
        <v>12</v>
      </c>
      <c r="I45" s="13">
        <v>0</v>
      </c>
      <c r="J45" s="15" cm="1">
        <f t="array" ref="J45">MMULT(MMULT(C42:E42,MINVERSE(C38:E40)),J31:J33)</f>
        <v>1200</v>
      </c>
      <c r="K45" s="1" t="s">
        <v>29</v>
      </c>
    </row>
    <row r="46" spans="2:11" x14ac:dyDescent="0.2">
      <c r="B46" s="10" t="str" cm="1">
        <f t="array" ref="B46:B48">TRANSPOSE(C36:E36)</f>
        <v>s1</v>
      </c>
      <c r="C46" s="10">
        <v>0</v>
      </c>
      <c r="D46" s="1" cm="1">
        <f t="array" ref="D46:I48">MMULT(MINVERSE(C38:E40),C31:H33)</f>
        <v>1.2</v>
      </c>
      <c r="E46" s="17">
        <v>2.6</v>
      </c>
      <c r="F46" s="1">
        <v>0</v>
      </c>
      <c r="G46" s="1">
        <v>1</v>
      </c>
      <c r="H46" s="1">
        <v>-0.2</v>
      </c>
      <c r="I46" s="6">
        <v>0</v>
      </c>
      <c r="J46" s="10" cm="1">
        <f t="array" ref="J46:J48">MMULT(MINVERSE(C38:E40),J31:J33)</f>
        <v>100</v>
      </c>
      <c r="K46" s="1">
        <f>J46/E46</f>
        <v>38.46153846153846</v>
      </c>
    </row>
    <row r="47" spans="2:11" x14ac:dyDescent="0.2">
      <c r="B47" s="10" t="str">
        <v>P3</v>
      </c>
      <c r="C47" s="10">
        <v>0</v>
      </c>
      <c r="D47" s="1">
        <v>0.8</v>
      </c>
      <c r="E47" s="17">
        <v>0.4</v>
      </c>
      <c r="F47" s="1">
        <v>1</v>
      </c>
      <c r="G47" s="1">
        <v>0</v>
      </c>
      <c r="H47" s="1">
        <v>0.2</v>
      </c>
      <c r="I47" s="6">
        <v>0</v>
      </c>
      <c r="J47" s="10">
        <v>20</v>
      </c>
      <c r="K47" s="1">
        <f t="shared" ref="K47:K48" si="1">J47/E47</f>
        <v>50</v>
      </c>
    </row>
    <row r="48" spans="2:11" x14ac:dyDescent="0.2">
      <c r="B48" s="37" t="str">
        <v>s3</v>
      </c>
      <c r="C48" s="37">
        <v>0</v>
      </c>
      <c r="D48" s="18">
        <v>-1.4</v>
      </c>
      <c r="E48" s="18">
        <v>0.8</v>
      </c>
      <c r="F48" s="18">
        <v>0</v>
      </c>
      <c r="G48" s="18">
        <v>0</v>
      </c>
      <c r="H48" s="18">
        <v>-0.6</v>
      </c>
      <c r="I48" s="38">
        <v>1</v>
      </c>
      <c r="J48" s="37">
        <v>30</v>
      </c>
      <c r="K48" s="17">
        <f t="shared" si="1"/>
        <v>37.5</v>
      </c>
    </row>
    <row r="50" spans="1:11" s="39" customFormat="1" x14ac:dyDescent="0.2"/>
    <row r="51" spans="1:11" x14ac:dyDescent="0.2">
      <c r="A51" t="s">
        <v>27</v>
      </c>
    </row>
    <row r="52" spans="1:11" x14ac:dyDescent="0.2">
      <c r="B52" s="1" t="s">
        <v>14</v>
      </c>
      <c r="C52" t="s">
        <v>6</v>
      </c>
      <c r="D52" t="s">
        <v>7</v>
      </c>
      <c r="E52" t="s">
        <v>8</v>
      </c>
      <c r="F52" t="s">
        <v>3</v>
      </c>
      <c r="G52" t="s">
        <v>4</v>
      </c>
      <c r="H52" t="s">
        <v>9</v>
      </c>
      <c r="I52" s="1"/>
      <c r="J52" s="1"/>
      <c r="K52" s="1"/>
    </row>
    <row r="53" spans="1:1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B54" s="1" t="s">
        <v>10</v>
      </c>
      <c r="C54" s="1">
        <v>50</v>
      </c>
      <c r="D54" s="1">
        <v>40</v>
      </c>
      <c r="E54" s="1">
        <v>60</v>
      </c>
      <c r="F54" s="1">
        <v>0</v>
      </c>
      <c r="G54" s="1">
        <v>0</v>
      </c>
      <c r="H54" s="1">
        <v>0</v>
      </c>
      <c r="I54" s="1"/>
      <c r="J54" s="1"/>
      <c r="K54" s="1"/>
    </row>
    <row r="55" spans="1:11" x14ac:dyDescent="0.2">
      <c r="B55" s="1"/>
      <c r="C55" s="1"/>
      <c r="D55" s="1"/>
      <c r="E55" s="1"/>
      <c r="F55" s="1"/>
      <c r="G55" s="1"/>
      <c r="H55" s="1"/>
      <c r="I55" s="1"/>
      <c r="J55" s="1" t="s">
        <v>13</v>
      </c>
      <c r="K55" s="1"/>
    </row>
    <row r="56" spans="1:11" x14ac:dyDescent="0.2">
      <c r="B56" s="1" t="s">
        <v>12</v>
      </c>
      <c r="C56" s="25">
        <v>2</v>
      </c>
      <c r="D56" s="26">
        <v>3</v>
      </c>
      <c r="E56" s="26">
        <v>1</v>
      </c>
      <c r="F56" s="26">
        <v>1</v>
      </c>
      <c r="G56" s="26">
        <v>0</v>
      </c>
      <c r="H56" s="27">
        <v>0</v>
      </c>
      <c r="I56" s="1"/>
      <c r="J56" s="34">
        <v>120</v>
      </c>
      <c r="K56" s="1"/>
    </row>
    <row r="57" spans="1:11" x14ac:dyDescent="0.2">
      <c r="B57" s="1"/>
      <c r="C57" s="28">
        <v>4</v>
      </c>
      <c r="D57">
        <v>2</v>
      </c>
      <c r="E57">
        <v>5</v>
      </c>
      <c r="F57">
        <v>0</v>
      </c>
      <c r="G57">
        <v>1</v>
      </c>
      <c r="H57" s="29">
        <v>0</v>
      </c>
      <c r="I57" s="1"/>
      <c r="J57" s="35">
        <v>100</v>
      </c>
      <c r="K57" s="1"/>
    </row>
    <row r="58" spans="1:11" x14ac:dyDescent="0.2">
      <c r="B58" s="1"/>
      <c r="C58" s="28">
        <v>1</v>
      </c>
      <c r="D58">
        <v>2</v>
      </c>
      <c r="E58">
        <v>3</v>
      </c>
      <c r="F58">
        <v>0</v>
      </c>
      <c r="G58">
        <v>0</v>
      </c>
      <c r="H58" s="29">
        <v>1</v>
      </c>
      <c r="I58" s="1"/>
      <c r="J58" s="36">
        <v>90</v>
      </c>
      <c r="K58" s="1"/>
    </row>
    <row r="59" spans="1:11" x14ac:dyDescent="0.2">
      <c r="B59" s="1"/>
      <c r="C59" s="12" t="s">
        <v>6</v>
      </c>
      <c r="D59" s="13" t="s">
        <v>7</v>
      </c>
      <c r="E59" s="13" t="s">
        <v>8</v>
      </c>
      <c r="F59" s="13" t="s">
        <v>15</v>
      </c>
      <c r="G59" s="13" t="s">
        <v>16</v>
      </c>
      <c r="H59" s="14" t="s">
        <v>17</v>
      </c>
      <c r="I59" s="1"/>
      <c r="J59" s="1"/>
      <c r="K59" s="1"/>
    </row>
    <row r="60" spans="1:1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B61" s="1" t="s">
        <v>19</v>
      </c>
      <c r="C61" s="1" t="s">
        <v>3</v>
      </c>
      <c r="D61" s="1" t="s">
        <v>8</v>
      </c>
      <c r="E61" s="1" t="s">
        <v>7</v>
      </c>
      <c r="F61" s="1"/>
      <c r="G61" s="1" t="s">
        <v>18</v>
      </c>
      <c r="H61" s="1" t="s">
        <v>6</v>
      </c>
      <c r="I61" s="1" t="s">
        <v>9</v>
      </c>
      <c r="J61" s="1" t="s">
        <v>4</v>
      </c>
      <c r="K61" s="1"/>
    </row>
    <row r="62" spans="1:11" x14ac:dyDescent="0.2">
      <c r="B62" s="1"/>
      <c r="C62" s="1"/>
      <c r="E62" s="1"/>
      <c r="F62" s="1"/>
      <c r="G62" s="1"/>
      <c r="H62" s="1"/>
      <c r="I62" s="1"/>
      <c r="J62" s="1"/>
      <c r="K62" s="1"/>
    </row>
    <row r="63" spans="1:11" x14ac:dyDescent="0.2">
      <c r="B63" s="1"/>
      <c r="C63" s="2">
        <v>1</v>
      </c>
      <c r="D63" s="26">
        <v>1</v>
      </c>
      <c r="E63" s="27">
        <v>3</v>
      </c>
      <c r="F63" s="1"/>
      <c r="G63" s="1"/>
      <c r="H63" s="25">
        <v>2</v>
      </c>
      <c r="I63" s="3">
        <v>0</v>
      </c>
      <c r="J63" s="4">
        <v>0</v>
      </c>
      <c r="K63" s="1"/>
    </row>
    <row r="64" spans="1:11" x14ac:dyDescent="0.2">
      <c r="B64" s="1" t="s">
        <v>21</v>
      </c>
      <c r="C64" s="5">
        <v>0</v>
      </c>
      <c r="D64">
        <v>5</v>
      </c>
      <c r="E64" s="29">
        <v>2</v>
      </c>
      <c r="F64" s="1"/>
      <c r="G64" s="1" t="s">
        <v>20</v>
      </c>
      <c r="H64" s="28">
        <v>4</v>
      </c>
      <c r="I64" s="1">
        <v>0</v>
      </c>
      <c r="J64" s="6">
        <v>1</v>
      </c>
      <c r="K64" s="1"/>
    </row>
    <row r="65" spans="1:11" x14ac:dyDescent="0.2">
      <c r="B65" s="1"/>
      <c r="C65" s="7">
        <v>0</v>
      </c>
      <c r="D65" s="31">
        <v>3</v>
      </c>
      <c r="E65" s="32">
        <v>2</v>
      </c>
      <c r="F65" s="1"/>
      <c r="G65" s="1"/>
      <c r="H65" s="30">
        <v>1</v>
      </c>
      <c r="I65" s="8">
        <v>1</v>
      </c>
      <c r="J65" s="9">
        <v>0</v>
      </c>
      <c r="K65" s="1"/>
    </row>
    <row r="66" spans="1:11" x14ac:dyDescent="0.2">
      <c r="B66" s="1"/>
      <c r="C66" s="1"/>
      <c r="E66" s="1"/>
      <c r="F66" s="1"/>
      <c r="G66" s="1"/>
      <c r="H66" s="1"/>
      <c r="I66" s="1"/>
      <c r="J66" s="1"/>
      <c r="K66" s="1"/>
    </row>
    <row r="67" spans="1:11" x14ac:dyDescent="0.2">
      <c r="B67" s="1" t="s">
        <v>22</v>
      </c>
      <c r="C67" s="1">
        <v>0</v>
      </c>
      <c r="D67" s="1">
        <v>60</v>
      </c>
      <c r="E67" s="1">
        <v>40</v>
      </c>
      <c r="F67" s="1"/>
      <c r="G67" s="1" t="s">
        <v>23</v>
      </c>
      <c r="H67" s="1">
        <v>50</v>
      </c>
      <c r="I67" s="1">
        <v>0</v>
      </c>
      <c r="J67" s="1">
        <v>0</v>
      </c>
      <c r="K67" s="1"/>
    </row>
    <row r="68" spans="1:1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">
      <c r="B69" s="1"/>
      <c r="C69" s="15" t="s">
        <v>0</v>
      </c>
      <c r="D69" s="16" t="s">
        <v>6</v>
      </c>
      <c r="E69" s="13" t="s">
        <v>7</v>
      </c>
      <c r="F69" s="13" t="s">
        <v>8</v>
      </c>
      <c r="G69" s="13" t="s">
        <v>3</v>
      </c>
      <c r="H69" s="13" t="s">
        <v>4</v>
      </c>
      <c r="I69" s="14" t="s">
        <v>9</v>
      </c>
      <c r="J69" s="4" t="s">
        <v>5</v>
      </c>
      <c r="K69" s="1"/>
    </row>
    <row r="70" spans="1:11" x14ac:dyDescent="0.2">
      <c r="B70" s="15" t="s">
        <v>0</v>
      </c>
      <c r="C70" s="15">
        <v>1</v>
      </c>
      <c r="D70" s="16" cm="1">
        <f t="array" ref="D70:I70">MMULT(MMULT(C67:E67,MINVERSE(C63:E65)),C56:H58)-C54:H54</f>
        <v>-29.999999999999986</v>
      </c>
      <c r="E70" s="13">
        <v>0</v>
      </c>
      <c r="F70" s="13">
        <v>0</v>
      </c>
      <c r="G70" s="13">
        <v>0</v>
      </c>
      <c r="H70" s="13">
        <v>3.5527136788005009E-15</v>
      </c>
      <c r="I70" s="13">
        <v>20</v>
      </c>
      <c r="J70" s="15" cm="1">
        <f t="array" ref="J70">MMULT(MMULT(C67:E67,MINVERSE(C63:E65)),J56:J58)</f>
        <v>1800.0000000000005</v>
      </c>
      <c r="K70" s="1" t="s">
        <v>29</v>
      </c>
    </row>
    <row r="71" spans="1:11" x14ac:dyDescent="0.2">
      <c r="B71" s="21" t="str" cm="1">
        <f t="array" ref="B71:B73">TRANSPOSE(C61:E61)</f>
        <v>s1</v>
      </c>
      <c r="C71" s="21">
        <v>0</v>
      </c>
      <c r="D71" s="17" cm="1">
        <f t="array" ref="D71:I73">MMULT(MINVERSE(C63:E65),C56:H58)</f>
        <v>5.7499999999999982</v>
      </c>
      <c r="E71" s="17">
        <v>-8.8817841970012523E-16</v>
      </c>
      <c r="F71" s="17">
        <v>-1.7763568394002505E-15</v>
      </c>
      <c r="G71" s="17">
        <v>1</v>
      </c>
      <c r="H71" s="17">
        <v>1.7499999999999996</v>
      </c>
      <c r="I71" s="22">
        <v>-3.25</v>
      </c>
      <c r="J71" s="21" cm="1">
        <f t="array" ref="J71:J73">MMULT(MINVERSE(C63:E65),J56:J58)</f>
        <v>2.4999999999999432</v>
      </c>
      <c r="K71" s="17">
        <f>J71/D71</f>
        <v>0.43478260869564245</v>
      </c>
    </row>
    <row r="72" spans="1:11" x14ac:dyDescent="0.2">
      <c r="B72" s="10" t="str">
        <v>P3</v>
      </c>
      <c r="C72" s="10">
        <v>0</v>
      </c>
      <c r="D72" s="17">
        <v>1.5</v>
      </c>
      <c r="E72" s="1">
        <v>0</v>
      </c>
      <c r="F72" s="1">
        <v>1</v>
      </c>
      <c r="G72" s="1">
        <v>0</v>
      </c>
      <c r="H72" s="1">
        <v>0.5</v>
      </c>
      <c r="I72" s="6">
        <v>-0.5</v>
      </c>
      <c r="J72" s="10">
        <v>5</v>
      </c>
      <c r="K72" s="1">
        <f t="shared" ref="K72:K73" si="2">J72/D72</f>
        <v>3.3333333333333335</v>
      </c>
    </row>
    <row r="73" spans="1:11" x14ac:dyDescent="0.2">
      <c r="B73" s="11" t="str">
        <v>P2</v>
      </c>
      <c r="C73" s="11">
        <v>0</v>
      </c>
      <c r="D73" s="18">
        <v>-1.7499999999999996</v>
      </c>
      <c r="E73" s="8">
        <v>1.0000000000000002</v>
      </c>
      <c r="F73" s="8">
        <v>4.4408920985006262E-16</v>
      </c>
      <c r="G73" s="8">
        <v>0</v>
      </c>
      <c r="H73" s="8">
        <v>-0.74999999999999989</v>
      </c>
      <c r="I73" s="9">
        <v>1.25</v>
      </c>
      <c r="J73" s="11">
        <v>37.500000000000014</v>
      </c>
      <c r="K73" s="1">
        <f t="shared" si="2"/>
        <v>-21.428571428571441</v>
      </c>
    </row>
    <row r="75" spans="1:11" s="39" customFormat="1" x14ac:dyDescent="0.2"/>
    <row r="76" spans="1:11" x14ac:dyDescent="0.2">
      <c r="A76" t="s">
        <v>33</v>
      </c>
    </row>
    <row r="77" spans="1:11" x14ac:dyDescent="0.2">
      <c r="B77" s="1" t="s">
        <v>14</v>
      </c>
      <c r="C77" t="s">
        <v>6</v>
      </c>
      <c r="D77" t="s">
        <v>7</v>
      </c>
      <c r="E77" t="s">
        <v>8</v>
      </c>
      <c r="F77" t="s">
        <v>3</v>
      </c>
      <c r="G77" t="s">
        <v>4</v>
      </c>
      <c r="H77" t="s">
        <v>9</v>
      </c>
      <c r="I77" s="1"/>
      <c r="J77" s="1"/>
      <c r="K77" s="1"/>
    </row>
    <row r="78" spans="1:1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">
      <c r="B79" s="1" t="s">
        <v>10</v>
      </c>
      <c r="C79" s="1">
        <v>50</v>
      </c>
      <c r="D79" s="1">
        <v>40</v>
      </c>
      <c r="E79" s="1">
        <v>60</v>
      </c>
      <c r="F79" s="1">
        <v>0</v>
      </c>
      <c r="G79" s="1">
        <v>0</v>
      </c>
      <c r="H79" s="1">
        <v>0</v>
      </c>
      <c r="I79" s="1"/>
      <c r="J79" s="1"/>
      <c r="K79" s="1"/>
    </row>
    <row r="80" spans="1:11" x14ac:dyDescent="0.2">
      <c r="B80" s="1"/>
      <c r="C80" s="1"/>
      <c r="D80" s="1"/>
      <c r="E80" s="1"/>
      <c r="F80" s="1"/>
      <c r="G80" s="1"/>
      <c r="H80" s="1"/>
      <c r="I80" s="1"/>
      <c r="J80" s="1" t="s">
        <v>13</v>
      </c>
      <c r="K80" s="1"/>
    </row>
    <row r="81" spans="1:12" x14ac:dyDescent="0.2">
      <c r="B81" s="1" t="s">
        <v>12</v>
      </c>
      <c r="C81" s="25">
        <v>2</v>
      </c>
      <c r="D81" s="26">
        <v>3</v>
      </c>
      <c r="E81" s="26">
        <v>1</v>
      </c>
      <c r="F81" s="26">
        <v>1</v>
      </c>
      <c r="G81" s="26">
        <v>0</v>
      </c>
      <c r="H81" s="27">
        <v>0</v>
      </c>
      <c r="I81" s="1"/>
      <c r="J81" s="34">
        <v>120</v>
      </c>
      <c r="K81" s="1"/>
    </row>
    <row r="82" spans="1:12" x14ac:dyDescent="0.2">
      <c r="B82" s="1"/>
      <c r="C82" s="28">
        <v>4</v>
      </c>
      <c r="D82">
        <v>2</v>
      </c>
      <c r="E82">
        <v>5</v>
      </c>
      <c r="F82">
        <v>0</v>
      </c>
      <c r="G82">
        <v>1</v>
      </c>
      <c r="H82" s="29">
        <v>0</v>
      </c>
      <c r="I82" s="1"/>
      <c r="J82" s="35">
        <v>100</v>
      </c>
      <c r="K82" s="1"/>
    </row>
    <row r="83" spans="1:12" x14ac:dyDescent="0.2">
      <c r="A83" t="s">
        <v>52</v>
      </c>
      <c r="B83" s="1"/>
      <c r="C83" s="28">
        <v>1</v>
      </c>
      <c r="D83">
        <v>2</v>
      </c>
      <c r="E83">
        <v>3</v>
      </c>
      <c r="F83">
        <v>0</v>
      </c>
      <c r="G83">
        <v>0</v>
      </c>
      <c r="H83" s="29">
        <v>1</v>
      </c>
      <c r="I83" s="1"/>
      <c r="J83" s="36">
        <v>90</v>
      </c>
      <c r="K83" s="1"/>
    </row>
    <row r="84" spans="1:12" x14ac:dyDescent="0.2">
      <c r="A84" t="s">
        <v>32</v>
      </c>
      <c r="B84" s="1"/>
      <c r="C84" s="12" t="s">
        <v>6</v>
      </c>
      <c r="D84" s="13" t="s">
        <v>7</v>
      </c>
      <c r="E84" s="13" t="s">
        <v>8</v>
      </c>
      <c r="F84" s="13" t="s">
        <v>15</v>
      </c>
      <c r="G84" s="13" t="s">
        <v>16</v>
      </c>
      <c r="H84" s="14" t="s">
        <v>17</v>
      </c>
      <c r="I84" s="1"/>
      <c r="J84" s="1"/>
      <c r="K84" s="1"/>
    </row>
    <row r="85" spans="1:12" x14ac:dyDescent="0.2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2" x14ac:dyDescent="0.2">
      <c r="B86" s="1" t="s">
        <v>19</v>
      </c>
      <c r="C86" s="1" t="s">
        <v>6</v>
      </c>
      <c r="D86" s="1" t="s">
        <v>8</v>
      </c>
      <c r="E86" s="1" t="s">
        <v>7</v>
      </c>
      <c r="F86" s="1"/>
      <c r="G86" s="1" t="s">
        <v>18</v>
      </c>
      <c r="H86" s="1" t="s">
        <v>3</v>
      </c>
      <c r="I86" s="1" t="s">
        <v>9</v>
      </c>
      <c r="J86" s="1" t="s">
        <v>4</v>
      </c>
      <c r="K86" s="1"/>
    </row>
    <row r="87" spans="1:12" x14ac:dyDescent="0.2">
      <c r="B87" s="1"/>
      <c r="C87" s="1"/>
      <c r="E87" s="1"/>
      <c r="F87" s="1"/>
      <c r="G87" s="1"/>
      <c r="H87" s="1"/>
      <c r="I87" s="1"/>
      <c r="J87" s="1"/>
      <c r="K87" s="1"/>
      <c r="L87" s="33"/>
    </row>
    <row r="88" spans="1:12" x14ac:dyDescent="0.2">
      <c r="B88" s="1"/>
      <c r="C88" s="25">
        <v>2</v>
      </c>
      <c r="D88" s="26">
        <v>1</v>
      </c>
      <c r="E88" s="27">
        <v>3</v>
      </c>
      <c r="F88" s="1"/>
      <c r="G88" s="1"/>
      <c r="H88" s="2">
        <v>1</v>
      </c>
      <c r="I88" s="3">
        <v>0</v>
      </c>
      <c r="J88" s="4">
        <v>0</v>
      </c>
      <c r="K88" s="1"/>
    </row>
    <row r="89" spans="1:12" x14ac:dyDescent="0.2">
      <c r="B89" s="1" t="s">
        <v>21</v>
      </c>
      <c r="C89" s="28">
        <v>4</v>
      </c>
      <c r="D89">
        <v>5</v>
      </c>
      <c r="E89" s="29">
        <v>2</v>
      </c>
      <c r="F89" s="1"/>
      <c r="G89" s="1" t="s">
        <v>20</v>
      </c>
      <c r="H89" s="5">
        <v>0</v>
      </c>
      <c r="I89" s="1">
        <v>0</v>
      </c>
      <c r="J89" s="6">
        <v>1</v>
      </c>
      <c r="K89" s="1"/>
    </row>
    <row r="90" spans="1:12" x14ac:dyDescent="0.2">
      <c r="B90" s="1"/>
      <c r="C90" s="30">
        <v>1</v>
      </c>
      <c r="D90" s="31">
        <v>3</v>
      </c>
      <c r="E90" s="32">
        <v>2</v>
      </c>
      <c r="F90" s="1"/>
      <c r="G90" s="1"/>
      <c r="H90" s="7">
        <v>0</v>
      </c>
      <c r="I90" s="8">
        <v>1</v>
      </c>
      <c r="J90" s="9">
        <v>0</v>
      </c>
      <c r="K90" s="1"/>
    </row>
    <row r="91" spans="1:12" x14ac:dyDescent="0.2">
      <c r="B91" s="1"/>
      <c r="C91" s="1"/>
      <c r="E91" s="1"/>
      <c r="F91" s="1"/>
      <c r="G91" s="1"/>
      <c r="H91" s="1"/>
      <c r="I91" s="1"/>
      <c r="J91" s="1"/>
      <c r="K91" s="1"/>
    </row>
    <row r="92" spans="1:12" x14ac:dyDescent="0.2">
      <c r="B92" s="1" t="s">
        <v>22</v>
      </c>
      <c r="C92" s="1">
        <v>50</v>
      </c>
      <c r="D92" s="1">
        <v>60</v>
      </c>
      <c r="E92" s="1">
        <v>40</v>
      </c>
      <c r="F92" s="1"/>
      <c r="G92" s="1" t="s">
        <v>23</v>
      </c>
      <c r="H92" s="1">
        <v>0</v>
      </c>
      <c r="I92" s="1">
        <v>0</v>
      </c>
      <c r="J92" s="1">
        <v>0</v>
      </c>
      <c r="K92" s="1"/>
    </row>
    <row r="93" spans="1:12" x14ac:dyDescent="0.2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2" x14ac:dyDescent="0.2">
      <c r="B94" s="1"/>
      <c r="C94" s="15" t="s">
        <v>0</v>
      </c>
      <c r="D94" s="13" t="s">
        <v>6</v>
      </c>
      <c r="E94" s="13" t="s">
        <v>7</v>
      </c>
      <c r="F94" s="13" t="s">
        <v>8</v>
      </c>
      <c r="G94" s="13" t="s">
        <v>3</v>
      </c>
      <c r="H94" s="13" t="s">
        <v>4</v>
      </c>
      <c r="I94" s="14" t="s">
        <v>9</v>
      </c>
      <c r="J94" s="4" t="s">
        <v>5</v>
      </c>
      <c r="K94" s="1"/>
    </row>
    <row r="95" spans="1:12" x14ac:dyDescent="0.2">
      <c r="B95" s="15" t="s">
        <v>0</v>
      </c>
      <c r="C95" s="15">
        <v>1</v>
      </c>
      <c r="D95" s="13" cm="1">
        <f t="array" ref="D95:I95">MMULT(MMULT(C92:E92,MINVERSE(C88:E90)),C81:H83)-C79:H79</f>
        <v>0</v>
      </c>
      <c r="E95" s="13">
        <v>0</v>
      </c>
      <c r="F95" s="13">
        <v>0</v>
      </c>
      <c r="G95" s="13">
        <v>5.2173913043478262</v>
      </c>
      <c r="H95" s="13">
        <v>9.1304347826086971</v>
      </c>
      <c r="I95" s="13">
        <v>3.0434782608695663</v>
      </c>
      <c r="J95" s="23" cm="1">
        <f t="array" ref="J95">MMULT(MMULT(C92:E92,MINVERSE(C88:E90)),J81:J83)</f>
        <v>1813.04347826087</v>
      </c>
      <c r="K95" s="1"/>
    </row>
    <row r="96" spans="1:12" x14ac:dyDescent="0.2">
      <c r="B96" s="10" t="str" cm="1">
        <f t="array" ref="B96:B98">TRANSPOSE(C86:E86)</f>
        <v>P1</v>
      </c>
      <c r="C96" s="10">
        <v>0</v>
      </c>
      <c r="D96" s="1" cm="1">
        <f t="array" ref="D96:I98">MMULT(MINVERSE(C88:E90),C81:H83)</f>
        <v>1</v>
      </c>
      <c r="E96" s="1">
        <v>0</v>
      </c>
      <c r="F96" s="1">
        <v>-2.2204460492503131E-16</v>
      </c>
      <c r="G96" s="1">
        <v>0.17391304347826086</v>
      </c>
      <c r="H96" s="1">
        <v>0.30434782608695654</v>
      </c>
      <c r="I96" s="6">
        <v>-0.56521739130434789</v>
      </c>
      <c r="J96" s="10" cm="1">
        <f t="array" ref="J96:J98">MMULT(MINVERSE(C88:E90),J81:J83)</f>
        <v>0.43478260869564878</v>
      </c>
      <c r="K96" s="1"/>
    </row>
    <row r="97" spans="2:11" x14ac:dyDescent="0.2">
      <c r="B97" s="10" t="str">
        <v>P3</v>
      </c>
      <c r="C97" s="10">
        <v>0</v>
      </c>
      <c r="D97" s="1">
        <v>5.5511151231257827E-17</v>
      </c>
      <c r="E97" s="1">
        <v>2.2204460492503131E-16</v>
      </c>
      <c r="F97" s="1">
        <v>1.0000000000000002</v>
      </c>
      <c r="G97" s="1">
        <v>-0.2608695652173913</v>
      </c>
      <c r="H97" s="1">
        <v>4.3478260869565223E-2</v>
      </c>
      <c r="I97" s="6">
        <v>0.34782608695652178</v>
      </c>
      <c r="J97" s="10">
        <v>4.3478260869565268</v>
      </c>
      <c r="K97" s="1"/>
    </row>
    <row r="98" spans="2:11" x14ac:dyDescent="0.2">
      <c r="B98" s="11" t="str">
        <v>P2</v>
      </c>
      <c r="C98" s="11">
        <v>0</v>
      </c>
      <c r="D98" s="8">
        <v>-5.5511151231257827E-17</v>
      </c>
      <c r="E98" s="8">
        <v>1</v>
      </c>
      <c r="F98" s="8">
        <v>-2.2204460492503131E-16</v>
      </c>
      <c r="G98" s="8">
        <v>0.30434782608695654</v>
      </c>
      <c r="H98" s="8">
        <v>-0.21739130434782611</v>
      </c>
      <c r="I98" s="9">
        <v>0.2608695652173913</v>
      </c>
      <c r="J98" s="11">
        <v>38.260869565217391</v>
      </c>
      <c r="K9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0D37-30FC-4CF4-B6CC-4C86EF883972}">
  <dimension ref="B1:R29"/>
  <sheetViews>
    <sheetView workbookViewId="0">
      <selection activeCell="F15" sqref="F15"/>
    </sheetView>
  </sheetViews>
  <sheetFormatPr baseColWidth="10" defaultColWidth="8.83203125" defaultRowHeight="15" x14ac:dyDescent="0.2"/>
  <cols>
    <col min="3" max="3" width="12.6640625" bestFit="1" customWidth="1"/>
    <col min="6" max="6" width="12.6640625" bestFit="1" customWidth="1"/>
    <col min="9" max="9" width="12.6640625" bestFit="1" customWidth="1"/>
  </cols>
  <sheetData>
    <row r="1" spans="2:18" x14ac:dyDescent="0.2">
      <c r="B1" s="1" t="s">
        <v>19</v>
      </c>
      <c r="C1" s="1" t="s">
        <v>6</v>
      </c>
      <c r="D1" s="1" t="s">
        <v>8</v>
      </c>
      <c r="E1" s="1" t="s">
        <v>7</v>
      </c>
      <c r="F1" s="1"/>
      <c r="G1" s="1" t="s">
        <v>18</v>
      </c>
      <c r="H1" s="1" t="s">
        <v>3</v>
      </c>
      <c r="I1" s="1" t="s">
        <v>9</v>
      </c>
      <c r="J1" s="1" t="s">
        <v>4</v>
      </c>
    </row>
    <row r="2" spans="2:18" x14ac:dyDescent="0.2">
      <c r="B2" s="1"/>
      <c r="C2" s="1"/>
      <c r="E2" s="1"/>
      <c r="F2" s="1"/>
      <c r="G2" s="1"/>
      <c r="H2" s="1"/>
      <c r="I2" s="1"/>
      <c r="J2" s="1"/>
    </row>
    <row r="3" spans="2:18" x14ac:dyDescent="0.2">
      <c r="B3" s="1"/>
      <c r="C3" s="25">
        <v>2</v>
      </c>
      <c r="D3" s="26">
        <v>1</v>
      </c>
      <c r="E3" s="27">
        <v>3</v>
      </c>
      <c r="F3" s="1"/>
      <c r="G3" s="1"/>
      <c r="H3" s="2">
        <v>1</v>
      </c>
      <c r="I3" s="3">
        <v>0</v>
      </c>
      <c r="J3" s="4">
        <v>0</v>
      </c>
      <c r="P3" s="25">
        <v>2</v>
      </c>
      <c r="Q3" s="26">
        <v>1</v>
      </c>
      <c r="R3" s="27">
        <v>3</v>
      </c>
    </row>
    <row r="4" spans="2:18" x14ac:dyDescent="0.2">
      <c r="B4" s="1" t="s">
        <v>21</v>
      </c>
      <c r="C4" s="28">
        <v>4</v>
      </c>
      <c r="D4">
        <v>5</v>
      </c>
      <c r="E4" s="29">
        <v>2</v>
      </c>
      <c r="F4" s="1"/>
      <c r="G4" s="1" t="s">
        <v>20</v>
      </c>
      <c r="H4" s="5">
        <v>0</v>
      </c>
      <c r="I4" s="1">
        <v>0</v>
      </c>
      <c r="J4" s="6">
        <v>1</v>
      </c>
      <c r="P4" s="28">
        <v>4</v>
      </c>
      <c r="Q4">
        <v>5</v>
      </c>
      <c r="R4" s="29">
        <v>2</v>
      </c>
    </row>
    <row r="5" spans="2:18" x14ac:dyDescent="0.2">
      <c r="B5" s="1"/>
      <c r="C5" s="30">
        <v>1</v>
      </c>
      <c r="D5" s="31">
        <v>3</v>
      </c>
      <c r="E5" s="32">
        <v>2</v>
      </c>
      <c r="F5" s="1"/>
      <c r="G5" s="1"/>
      <c r="H5" s="7">
        <v>0</v>
      </c>
      <c r="I5" s="8">
        <v>1</v>
      </c>
      <c r="J5" s="9">
        <v>0</v>
      </c>
      <c r="P5" s="30">
        <v>1</v>
      </c>
      <c r="Q5" s="31">
        <v>3</v>
      </c>
      <c r="R5" s="32">
        <v>2</v>
      </c>
    </row>
    <row r="6" spans="2:18" x14ac:dyDescent="0.2">
      <c r="L6" s="1" t="s">
        <v>13</v>
      </c>
    </row>
    <row r="7" spans="2:18" x14ac:dyDescent="0.2">
      <c r="B7" t="s">
        <v>42</v>
      </c>
      <c r="C7" s="25" cm="1">
        <f t="array" ref="C7:E9">MINVERSE(C3:E5)</f>
        <v>0.17391304347826086</v>
      </c>
      <c r="D7" s="26">
        <v>0.30434782608695654</v>
      </c>
      <c r="E7" s="27">
        <v>-0.56521739130434789</v>
      </c>
      <c r="H7" t="s">
        <v>53</v>
      </c>
      <c r="I7" t="s">
        <v>55</v>
      </c>
      <c r="J7" t="s">
        <v>54</v>
      </c>
      <c r="L7" s="34">
        <v>120</v>
      </c>
      <c r="P7" cm="1">
        <f t="array" ref="P7:R9">MINVERSE(P3:R5)</f>
        <v>0.17391304347826086</v>
      </c>
      <c r="Q7">
        <v>0.30434782608695654</v>
      </c>
      <c r="R7">
        <v>-0.56521739130434789</v>
      </c>
    </row>
    <row r="8" spans="2:18" x14ac:dyDescent="0.2">
      <c r="C8" s="28">
        <v>-0.2608695652173913</v>
      </c>
      <c r="D8">
        <v>4.3478260869565223E-2</v>
      </c>
      <c r="E8" s="29">
        <v>0.34782608695652178</v>
      </c>
      <c r="H8" s="2">
        <v>1</v>
      </c>
      <c r="I8" s="3">
        <v>0</v>
      </c>
      <c r="J8" s="4">
        <v>0</v>
      </c>
      <c r="L8" s="35">
        <v>100</v>
      </c>
      <c r="P8">
        <v>-0.2608695652173913</v>
      </c>
      <c r="Q8">
        <v>4.3478260869565223E-2</v>
      </c>
      <c r="R8">
        <v>0.34782608695652178</v>
      </c>
    </row>
    <row r="9" spans="2:18" x14ac:dyDescent="0.2">
      <c r="C9" s="30">
        <v>0.30434782608695654</v>
      </c>
      <c r="D9" s="31">
        <v>-0.21739130434782611</v>
      </c>
      <c r="E9" s="32">
        <v>0.2608695652173913</v>
      </c>
      <c r="H9" s="5">
        <v>0</v>
      </c>
      <c r="I9" s="1">
        <v>0</v>
      </c>
      <c r="J9" s="6">
        <v>1</v>
      </c>
      <c r="L9" s="36">
        <v>90</v>
      </c>
      <c r="P9">
        <v>0.30434782608695654</v>
      </c>
      <c r="Q9">
        <v>-0.21739130434782611</v>
      </c>
      <c r="R9">
        <v>0.2608695652173913</v>
      </c>
    </row>
    <row r="10" spans="2:18" x14ac:dyDescent="0.2">
      <c r="H10" s="7">
        <v>0</v>
      </c>
      <c r="I10" s="8">
        <v>1</v>
      </c>
      <c r="J10" s="9">
        <v>0</v>
      </c>
    </row>
    <row r="11" spans="2:18" x14ac:dyDescent="0.2">
      <c r="B11" t="s">
        <v>43</v>
      </c>
      <c r="C11" s="34" cm="1">
        <f t="array" ref="C11:C13">MMULT(_xlfn.ANCHORARRAY(C7),L7:L9)</f>
        <v>0.43478260869564878</v>
      </c>
    </row>
    <row r="12" spans="2:18" x14ac:dyDescent="0.2">
      <c r="C12" s="35">
        <v>4.3478260869565268</v>
      </c>
    </row>
    <row r="13" spans="2:18" x14ac:dyDescent="0.2">
      <c r="C13" s="36">
        <v>38.260869565217391</v>
      </c>
    </row>
    <row r="15" spans="2:18" x14ac:dyDescent="0.2">
      <c r="B15" t="s">
        <v>46</v>
      </c>
      <c r="C15" s="34" cm="1">
        <f t="array" ref="C15:C17">MMULT(_xlfn.ANCHORARRAY(C7),H8:H10)</f>
        <v>0.17391304347826086</v>
      </c>
      <c r="E15" t="s">
        <v>48</v>
      </c>
      <c r="F15" s="34" cm="1">
        <f t="array" ref="F15:F17">MMULT(_xlfn.ANCHORARRAY(C7),I8:I10)</f>
        <v>-0.56521739130434789</v>
      </c>
      <c r="H15" t="s">
        <v>47</v>
      </c>
      <c r="I15" s="34" cm="1">
        <f t="array" ref="I15:I17">MMULT(_xlfn.ANCHORARRAY(C7),J8:J10)</f>
        <v>0.30434782608695654</v>
      </c>
    </row>
    <row r="16" spans="2:18" x14ac:dyDescent="0.2">
      <c r="C16" s="35">
        <v>-0.2608695652173913</v>
      </c>
      <c r="F16" s="35">
        <v>0.34782608695652178</v>
      </c>
      <c r="I16" s="35">
        <v>4.3478260869565223E-2</v>
      </c>
    </row>
    <row r="17" spans="2:12" x14ac:dyDescent="0.2">
      <c r="C17" s="36">
        <v>0.30434782608695654</v>
      </c>
      <c r="F17" s="36">
        <v>0.2608695652173913</v>
      </c>
      <c r="I17" s="36">
        <v>-0.21739130434782611</v>
      </c>
    </row>
    <row r="19" spans="2:12" x14ac:dyDescent="0.2">
      <c r="C19" s="34" cm="1">
        <f t="array" ref="C19:C21">-_xlfn.ANCHORARRAY($C$11)/_xlfn.ANCHORARRAY(C15)</f>
        <v>-2.4999999999999805</v>
      </c>
      <c r="F19" s="34" cm="1">
        <f t="array" ref="F19:F21">-_xlfn.ANCHORARRAY($C$11)/_xlfn.ANCHORARRAY(F15)</f>
        <v>0.76923076923076317</v>
      </c>
      <c r="I19" s="34" cm="1">
        <f t="array" ref="I19:I21">-_xlfn.ANCHORARRAY($C$11)/_xlfn.ANCHORARRAY(I15)</f>
        <v>-1.4285714285714173</v>
      </c>
    </row>
    <row r="20" spans="2:12" x14ac:dyDescent="0.2">
      <c r="C20" s="35">
        <v>16.666666666666686</v>
      </c>
      <c r="F20" s="48">
        <v>-12.500000000000012</v>
      </c>
      <c r="I20" s="46">
        <v>-100.0000000000001</v>
      </c>
    </row>
    <row r="21" spans="2:12" x14ac:dyDescent="0.2">
      <c r="C21" s="45">
        <v>-125.71428571428571</v>
      </c>
      <c r="F21" s="45">
        <v>-146.66666666666666</v>
      </c>
      <c r="I21" s="47">
        <v>175.99999999999997</v>
      </c>
    </row>
    <row r="22" spans="2:12" x14ac:dyDescent="0.2">
      <c r="L22" s="49"/>
    </row>
    <row r="23" spans="2:12" x14ac:dyDescent="0.2">
      <c r="C23" t="s">
        <v>44</v>
      </c>
      <c r="F23" t="s">
        <v>56</v>
      </c>
      <c r="I23" t="s">
        <v>45</v>
      </c>
    </row>
    <row r="24" spans="2:12" x14ac:dyDescent="0.2">
      <c r="B24" t="s">
        <v>49</v>
      </c>
    </row>
    <row r="25" spans="2:12" x14ac:dyDescent="0.2">
      <c r="B25" t="s">
        <v>50</v>
      </c>
      <c r="C25" s="34">
        <f>C19</f>
        <v>-2.4999999999999805</v>
      </c>
      <c r="F25" s="34">
        <f>F20</f>
        <v>-12.500000000000012</v>
      </c>
      <c r="I25" s="34">
        <f>I19</f>
        <v>-1.4285714285714173</v>
      </c>
    </row>
    <row r="26" spans="2:12" x14ac:dyDescent="0.2">
      <c r="B26" t="s">
        <v>51</v>
      </c>
      <c r="C26" s="36">
        <f>MAX(_xlfn.ANCHORARRAY(C19))</f>
        <v>16.666666666666686</v>
      </c>
      <c r="F26" s="36">
        <f t="shared" ref="F26:I26" si="0">MAX(_xlfn.ANCHORARRAY(F19))</f>
        <v>0.76923076923076317</v>
      </c>
      <c r="I26" s="36">
        <f t="shared" si="0"/>
        <v>175.99999999999997</v>
      </c>
    </row>
    <row r="28" spans="2:12" x14ac:dyDescent="0.2">
      <c r="B28" t="s">
        <v>57</v>
      </c>
      <c r="C28" s="34">
        <f>$L$7+C25</f>
        <v>117.50000000000001</v>
      </c>
      <c r="F28" s="34">
        <f>$L$9+F25</f>
        <v>77.499999999999986</v>
      </c>
      <c r="I28" s="34">
        <f>$L$8+I25</f>
        <v>98.571428571428584</v>
      </c>
    </row>
    <row r="29" spans="2:12" x14ac:dyDescent="0.2">
      <c r="C29" s="36">
        <f>$L$7+C26</f>
        <v>136.66666666666669</v>
      </c>
      <c r="F29" s="36">
        <f>$L$9+F26</f>
        <v>90.769230769230759</v>
      </c>
      <c r="I29" s="36">
        <f>$L$8+I26</f>
        <v>276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C085-EA0C-411A-A508-D58C9AEF1A4A}">
  <dimension ref="A1:L93"/>
  <sheetViews>
    <sheetView topLeftCell="A75" workbookViewId="0">
      <selection activeCell="A85" sqref="A85"/>
    </sheetView>
  </sheetViews>
  <sheetFormatPr baseColWidth="10" defaultColWidth="8.83203125" defaultRowHeight="15" x14ac:dyDescent="0.2"/>
  <sheetData>
    <row r="1" spans="1:10" x14ac:dyDescent="0.2">
      <c r="B1" t="s">
        <v>36</v>
      </c>
      <c r="C1" t="s">
        <v>37</v>
      </c>
      <c r="D1" t="s">
        <v>38</v>
      </c>
      <c r="E1" t="s">
        <v>39</v>
      </c>
      <c r="F1" t="s">
        <v>3</v>
      </c>
      <c r="G1" t="s">
        <v>4</v>
      </c>
      <c r="H1" t="s">
        <v>9</v>
      </c>
    </row>
    <row r="3" spans="1:10" x14ac:dyDescent="0.2">
      <c r="B3" t="s">
        <v>34</v>
      </c>
      <c r="C3">
        <v>120</v>
      </c>
      <c r="D3">
        <v>100</v>
      </c>
      <c r="E3">
        <v>90</v>
      </c>
      <c r="F3">
        <v>0</v>
      </c>
      <c r="G3">
        <v>0</v>
      </c>
      <c r="H3">
        <v>0</v>
      </c>
    </row>
    <row r="4" spans="1:10" x14ac:dyDescent="0.2">
      <c r="J4" t="s">
        <v>40</v>
      </c>
    </row>
    <row r="5" spans="1:10" x14ac:dyDescent="0.2">
      <c r="B5" t="s">
        <v>35</v>
      </c>
      <c r="C5" cm="1">
        <f t="array" ref="C5:E7">TRANSPOSE('Primal Problem'!C6:E8)</f>
        <v>2</v>
      </c>
      <c r="D5">
        <v>4</v>
      </c>
      <c r="E5">
        <v>1</v>
      </c>
      <c r="F5">
        <v>1</v>
      </c>
      <c r="G5">
        <v>0</v>
      </c>
      <c r="H5">
        <v>0</v>
      </c>
      <c r="J5">
        <v>50</v>
      </c>
    </row>
    <row r="6" spans="1:10" x14ac:dyDescent="0.2">
      <c r="C6">
        <v>3</v>
      </c>
      <c r="D6">
        <v>2</v>
      </c>
      <c r="E6">
        <v>2</v>
      </c>
      <c r="F6">
        <v>0</v>
      </c>
      <c r="G6">
        <v>1</v>
      </c>
      <c r="H6">
        <v>0</v>
      </c>
      <c r="J6">
        <v>40</v>
      </c>
    </row>
    <row r="7" spans="1:10" x14ac:dyDescent="0.2">
      <c r="C7">
        <v>1</v>
      </c>
      <c r="D7">
        <v>5</v>
      </c>
      <c r="E7">
        <v>3</v>
      </c>
      <c r="F7">
        <v>0</v>
      </c>
      <c r="G7">
        <v>0</v>
      </c>
      <c r="H7">
        <v>1</v>
      </c>
      <c r="J7">
        <v>60</v>
      </c>
    </row>
    <row r="9" spans="1:10" x14ac:dyDescent="0.2">
      <c r="A9" t="s">
        <v>30</v>
      </c>
      <c r="B9" t="s">
        <v>19</v>
      </c>
      <c r="C9" t="s">
        <v>3</v>
      </c>
      <c r="D9" t="s">
        <v>4</v>
      </c>
      <c r="E9" t="s">
        <v>9</v>
      </c>
      <c r="G9" t="s">
        <v>18</v>
      </c>
      <c r="H9" t="s">
        <v>37</v>
      </c>
      <c r="I9" t="s">
        <v>38</v>
      </c>
      <c r="J9" t="s">
        <v>39</v>
      </c>
    </row>
    <row r="10" spans="1:10" x14ac:dyDescent="0.2">
      <c r="A10" t="s">
        <v>31</v>
      </c>
    </row>
    <row r="11" spans="1:10" x14ac:dyDescent="0.2">
      <c r="A11" t="s">
        <v>32</v>
      </c>
      <c r="C11">
        <v>1</v>
      </c>
      <c r="D11">
        <v>0</v>
      </c>
      <c r="E11">
        <v>0</v>
      </c>
      <c r="H11">
        <v>2</v>
      </c>
      <c r="I11">
        <v>4</v>
      </c>
      <c r="J11">
        <v>1</v>
      </c>
    </row>
    <row r="12" spans="1:10" x14ac:dyDescent="0.2">
      <c r="B12" t="s">
        <v>21</v>
      </c>
      <c r="C12">
        <v>0</v>
      </c>
      <c r="D12">
        <v>1</v>
      </c>
      <c r="E12">
        <v>0</v>
      </c>
      <c r="G12" t="s">
        <v>20</v>
      </c>
      <c r="H12">
        <v>3</v>
      </c>
      <c r="I12">
        <v>2</v>
      </c>
      <c r="J12">
        <v>2</v>
      </c>
    </row>
    <row r="13" spans="1:10" x14ac:dyDescent="0.2">
      <c r="C13">
        <v>0</v>
      </c>
      <c r="D13">
        <v>0</v>
      </c>
      <c r="E13">
        <v>1</v>
      </c>
      <c r="H13">
        <v>1</v>
      </c>
      <c r="I13">
        <v>5</v>
      </c>
      <c r="J13">
        <v>3</v>
      </c>
    </row>
    <row r="15" spans="1:10" x14ac:dyDescent="0.2">
      <c r="B15" t="s">
        <v>41</v>
      </c>
      <c r="C15">
        <v>0</v>
      </c>
      <c r="D15">
        <v>0</v>
      </c>
      <c r="E15">
        <v>0</v>
      </c>
      <c r="G15" t="s">
        <v>23</v>
      </c>
      <c r="H15">
        <v>120</v>
      </c>
      <c r="I15">
        <v>100</v>
      </c>
      <c r="J15">
        <v>90</v>
      </c>
    </row>
    <row r="17" spans="2:12" x14ac:dyDescent="0.2">
      <c r="C17" t="s">
        <v>0</v>
      </c>
      <c r="D17" s="40" t="s">
        <v>37</v>
      </c>
      <c r="E17" t="s">
        <v>38</v>
      </c>
      <c r="F17" t="s">
        <v>39</v>
      </c>
      <c r="G17" t="s">
        <v>3</v>
      </c>
      <c r="H17" t="s">
        <v>4</v>
      </c>
      <c r="I17" t="s">
        <v>9</v>
      </c>
      <c r="J17" t="s">
        <v>5</v>
      </c>
    </row>
    <row r="18" spans="2:12" x14ac:dyDescent="0.2">
      <c r="B18" t="s">
        <v>0</v>
      </c>
      <c r="C18">
        <v>1</v>
      </c>
      <c r="D18" s="40" cm="1">
        <f t="array" ref="D18:I18">MMULT(MMULT(C15:E15,MINVERSE(C11:E13)),C5:H7)-C3:H3</f>
        <v>-120</v>
      </c>
      <c r="E18">
        <v>-100</v>
      </c>
      <c r="F18">
        <v>-90</v>
      </c>
      <c r="G18">
        <v>0</v>
      </c>
      <c r="H18">
        <v>0</v>
      </c>
      <c r="I18">
        <v>0</v>
      </c>
      <c r="J18" cm="1">
        <f t="array" ref="J18">MMULT(MMULT(C15:E15,MINVERSE(C11:E13)),J5:J7)</f>
        <v>0</v>
      </c>
      <c r="K18" t="s">
        <v>29</v>
      </c>
    </row>
    <row r="19" spans="2:12" x14ac:dyDescent="0.2">
      <c r="B19" t="s">
        <v>3</v>
      </c>
      <c r="C19">
        <v>0</v>
      </c>
      <c r="D19" s="40" cm="1">
        <f t="array" ref="D19:I21">MMULT(MINVERSE(C11:E13),C5:H7)</f>
        <v>2</v>
      </c>
      <c r="E19">
        <v>4</v>
      </c>
      <c r="F19">
        <v>1</v>
      </c>
      <c r="G19">
        <v>1</v>
      </c>
      <c r="H19">
        <v>0</v>
      </c>
      <c r="I19">
        <v>0</v>
      </c>
      <c r="J19" cm="1">
        <f t="array" ref="J19:J21">MMULT(MINVERSE(C11:E13),J5:J7)</f>
        <v>50</v>
      </c>
      <c r="K19">
        <f>J19/D19</f>
        <v>25</v>
      </c>
      <c r="L19" t="s">
        <v>25</v>
      </c>
    </row>
    <row r="20" spans="2:12" x14ac:dyDescent="0.2">
      <c r="B20" s="40" t="s">
        <v>4</v>
      </c>
      <c r="C20" s="40">
        <v>0</v>
      </c>
      <c r="D20" s="40">
        <v>3</v>
      </c>
      <c r="E20" s="40">
        <v>2</v>
      </c>
      <c r="F20" s="40">
        <v>2</v>
      </c>
      <c r="G20" s="40">
        <v>0</v>
      </c>
      <c r="H20" s="40">
        <v>1</v>
      </c>
      <c r="I20" s="40">
        <v>0</v>
      </c>
      <c r="J20" s="40">
        <v>40</v>
      </c>
      <c r="K20" s="40">
        <f t="shared" ref="K20:K21" si="0">J20/D20</f>
        <v>13.333333333333334</v>
      </c>
    </row>
    <row r="21" spans="2:12" x14ac:dyDescent="0.2">
      <c r="B21" t="s">
        <v>9</v>
      </c>
      <c r="C21">
        <v>0</v>
      </c>
      <c r="D21" s="40">
        <v>1</v>
      </c>
      <c r="E21">
        <v>5</v>
      </c>
      <c r="F21">
        <v>3</v>
      </c>
      <c r="G21">
        <v>0</v>
      </c>
      <c r="H21">
        <v>0</v>
      </c>
      <c r="I21">
        <v>1</v>
      </c>
      <c r="J21">
        <v>60</v>
      </c>
      <c r="K21">
        <f t="shared" si="0"/>
        <v>60</v>
      </c>
    </row>
    <row r="23" spans="2:12" s="39" customFormat="1" x14ac:dyDescent="0.2"/>
    <row r="25" spans="2:12" x14ac:dyDescent="0.2">
      <c r="B25" t="s">
        <v>36</v>
      </c>
      <c r="C25" t="s">
        <v>37</v>
      </c>
      <c r="D25" t="s">
        <v>38</v>
      </c>
      <c r="E25" t="s">
        <v>39</v>
      </c>
      <c r="F25" t="s">
        <v>3</v>
      </c>
      <c r="G25" t="s">
        <v>4</v>
      </c>
      <c r="H25" t="s">
        <v>9</v>
      </c>
    </row>
    <row r="27" spans="2:12" x14ac:dyDescent="0.2">
      <c r="B27" t="s">
        <v>34</v>
      </c>
      <c r="C27">
        <v>120</v>
      </c>
      <c r="D27">
        <v>100</v>
      </c>
      <c r="E27">
        <v>90</v>
      </c>
      <c r="F27">
        <v>0</v>
      </c>
      <c r="G27">
        <v>0</v>
      </c>
      <c r="H27">
        <v>0</v>
      </c>
    </row>
    <row r="28" spans="2:12" x14ac:dyDescent="0.2">
      <c r="J28" t="s">
        <v>40</v>
      </c>
    </row>
    <row r="29" spans="2:12" x14ac:dyDescent="0.2">
      <c r="B29" t="s">
        <v>35</v>
      </c>
      <c r="C29" cm="1">
        <f t="array" ref="C29:H31">C5:H7</f>
        <v>2</v>
      </c>
      <c r="D29">
        <v>4</v>
      </c>
      <c r="E29">
        <v>1</v>
      </c>
      <c r="F29">
        <v>1</v>
      </c>
      <c r="G29">
        <v>0</v>
      </c>
      <c r="H29">
        <v>0</v>
      </c>
      <c r="J29">
        <v>50</v>
      </c>
    </row>
    <row r="30" spans="2:12" x14ac:dyDescent="0.2">
      <c r="C30">
        <v>3</v>
      </c>
      <c r="D30">
        <v>2</v>
      </c>
      <c r="E30">
        <v>2</v>
      </c>
      <c r="F30">
        <v>0</v>
      </c>
      <c r="G30">
        <v>1</v>
      </c>
      <c r="H30">
        <v>0</v>
      </c>
      <c r="J30">
        <v>40</v>
      </c>
    </row>
    <row r="31" spans="2:12" x14ac:dyDescent="0.2">
      <c r="C31">
        <v>1</v>
      </c>
      <c r="D31">
        <v>5</v>
      </c>
      <c r="E31">
        <v>3</v>
      </c>
      <c r="F31">
        <v>0</v>
      </c>
      <c r="G31">
        <v>0</v>
      </c>
      <c r="H31">
        <v>1</v>
      </c>
      <c r="J31">
        <v>60</v>
      </c>
    </row>
    <row r="33" spans="2:11" x14ac:dyDescent="0.2">
      <c r="B33" t="s">
        <v>19</v>
      </c>
      <c r="C33" t="s">
        <v>3</v>
      </c>
      <c r="D33" t="s">
        <v>37</v>
      </c>
      <c r="E33" t="s">
        <v>9</v>
      </c>
      <c r="G33" t="s">
        <v>18</v>
      </c>
      <c r="H33" t="s">
        <v>4</v>
      </c>
      <c r="I33" t="s">
        <v>38</v>
      </c>
      <c r="J33" t="s">
        <v>39</v>
      </c>
    </row>
    <row r="35" spans="2:11" x14ac:dyDescent="0.2">
      <c r="C35">
        <v>1</v>
      </c>
      <c r="D35">
        <v>2</v>
      </c>
      <c r="E35">
        <v>0</v>
      </c>
      <c r="H35">
        <v>0</v>
      </c>
      <c r="I35">
        <v>4</v>
      </c>
      <c r="J35">
        <v>1</v>
      </c>
    </row>
    <row r="36" spans="2:11" x14ac:dyDescent="0.2">
      <c r="B36" t="s">
        <v>21</v>
      </c>
      <c r="C36">
        <v>0</v>
      </c>
      <c r="D36">
        <v>3</v>
      </c>
      <c r="E36">
        <v>0</v>
      </c>
      <c r="G36" t="s">
        <v>20</v>
      </c>
      <c r="H36">
        <v>1</v>
      </c>
      <c r="I36">
        <v>2</v>
      </c>
      <c r="J36">
        <v>2</v>
      </c>
    </row>
    <row r="37" spans="2:11" x14ac:dyDescent="0.2">
      <c r="C37">
        <v>0</v>
      </c>
      <c r="D37">
        <v>1</v>
      </c>
      <c r="E37">
        <v>1</v>
      </c>
      <c r="H37">
        <v>0</v>
      </c>
      <c r="I37">
        <v>5</v>
      </c>
      <c r="J37">
        <v>3</v>
      </c>
    </row>
    <row r="39" spans="2:11" x14ac:dyDescent="0.2">
      <c r="B39" t="s">
        <v>41</v>
      </c>
      <c r="C39">
        <v>0</v>
      </c>
      <c r="D39">
        <v>120</v>
      </c>
      <c r="E39">
        <v>0</v>
      </c>
      <c r="G39" t="s">
        <v>23</v>
      </c>
      <c r="H39">
        <v>0</v>
      </c>
      <c r="I39">
        <v>100</v>
      </c>
      <c r="J39">
        <v>90</v>
      </c>
    </row>
    <row r="41" spans="2:11" x14ac:dyDescent="0.2">
      <c r="C41" t="s">
        <v>0</v>
      </c>
      <c r="D41" t="s">
        <v>37</v>
      </c>
      <c r="E41" s="40" t="s">
        <v>38</v>
      </c>
      <c r="F41" t="s">
        <v>39</v>
      </c>
      <c r="G41" t="s">
        <v>3</v>
      </c>
      <c r="H41" t="s">
        <v>4</v>
      </c>
      <c r="I41" t="s">
        <v>9</v>
      </c>
      <c r="J41" t="s">
        <v>5</v>
      </c>
    </row>
    <row r="42" spans="2:11" x14ac:dyDescent="0.2">
      <c r="B42" t="s">
        <v>0</v>
      </c>
      <c r="C42">
        <v>1</v>
      </c>
      <c r="D42" cm="1">
        <f t="array" ref="D42:I42">MMULT(MMULT(C39:E39,MINVERSE(C35:E37)),C29:H31)-C27:H27</f>
        <v>0</v>
      </c>
      <c r="E42" s="40">
        <v>-20</v>
      </c>
      <c r="F42">
        <v>-10</v>
      </c>
      <c r="G42">
        <v>0</v>
      </c>
      <c r="H42">
        <v>40</v>
      </c>
      <c r="I42">
        <v>0</v>
      </c>
      <c r="J42" cm="1">
        <f t="array" ref="J42">MMULT(MMULT(C39:E39,MINVERSE(C35:E37)),J29:J31)</f>
        <v>1600</v>
      </c>
      <c r="K42" t="s">
        <v>29</v>
      </c>
    </row>
    <row r="43" spans="2:11" x14ac:dyDescent="0.2">
      <c r="B43" s="40" t="s">
        <v>3</v>
      </c>
      <c r="C43" s="40">
        <v>0</v>
      </c>
      <c r="D43" s="40" cm="1">
        <f t="array" ref="D43:I45">MMULT(MINVERSE(C35:E37),C29:H31)</f>
        <v>0</v>
      </c>
      <c r="E43" s="40">
        <v>2.666666666666667</v>
      </c>
      <c r="F43" s="40">
        <v>-0.33333333333333326</v>
      </c>
      <c r="G43" s="40">
        <v>1</v>
      </c>
      <c r="H43" s="40">
        <v>-0.66666666666666663</v>
      </c>
      <c r="I43" s="40">
        <v>0</v>
      </c>
      <c r="J43" s="40" cm="1">
        <f t="array" ref="J43:J45">MMULT(MINVERSE(C35:E37),J29:J31)</f>
        <v>23.333333333333336</v>
      </c>
      <c r="K43" s="40">
        <f>J43/E43</f>
        <v>8.75</v>
      </c>
    </row>
    <row r="44" spans="2:11" x14ac:dyDescent="0.2">
      <c r="B44" t="s">
        <v>37</v>
      </c>
      <c r="C44">
        <v>0</v>
      </c>
      <c r="D44">
        <v>1</v>
      </c>
      <c r="E44" s="40">
        <v>0.66666666666666663</v>
      </c>
      <c r="F44">
        <v>0.66666666666666663</v>
      </c>
      <c r="G44">
        <v>0</v>
      </c>
      <c r="H44">
        <v>0.33333333333333331</v>
      </c>
      <c r="I44">
        <v>0</v>
      </c>
      <c r="J44">
        <v>13.333333333333332</v>
      </c>
      <c r="K44">
        <f t="shared" ref="K44:K45" si="1">J44/E44</f>
        <v>20</v>
      </c>
    </row>
    <row r="45" spans="2:11" x14ac:dyDescent="0.2">
      <c r="B45" t="s">
        <v>9</v>
      </c>
      <c r="C45">
        <v>0</v>
      </c>
      <c r="D45">
        <v>0</v>
      </c>
      <c r="E45" s="40">
        <v>4.333333333333333</v>
      </c>
      <c r="F45">
        <v>2.3333333333333335</v>
      </c>
      <c r="G45">
        <v>0</v>
      </c>
      <c r="H45">
        <v>-0.33333333333333331</v>
      </c>
      <c r="I45">
        <v>1</v>
      </c>
      <c r="J45">
        <v>46.666666666666671</v>
      </c>
      <c r="K45">
        <f t="shared" si="1"/>
        <v>10.769230769230772</v>
      </c>
    </row>
    <row r="47" spans="2:11" s="39" customFormat="1" x14ac:dyDescent="0.2"/>
    <row r="49" spans="2:10" x14ac:dyDescent="0.2">
      <c r="B49" t="s">
        <v>36</v>
      </c>
      <c r="C49" t="s">
        <v>37</v>
      </c>
      <c r="D49" t="s">
        <v>38</v>
      </c>
      <c r="E49" t="s">
        <v>39</v>
      </c>
      <c r="F49" t="s">
        <v>3</v>
      </c>
      <c r="G49" t="s">
        <v>4</v>
      </c>
      <c r="H49" t="s">
        <v>9</v>
      </c>
    </row>
    <row r="51" spans="2:10" x14ac:dyDescent="0.2">
      <c r="B51" t="s">
        <v>34</v>
      </c>
      <c r="C51">
        <v>120</v>
      </c>
      <c r="D51">
        <v>100</v>
      </c>
      <c r="E51">
        <v>90</v>
      </c>
      <c r="F51">
        <v>0</v>
      </c>
      <c r="G51">
        <v>0</v>
      </c>
      <c r="H51">
        <v>0</v>
      </c>
    </row>
    <row r="52" spans="2:10" x14ac:dyDescent="0.2">
      <c r="J52" t="s">
        <v>40</v>
      </c>
    </row>
    <row r="53" spans="2:10" x14ac:dyDescent="0.2">
      <c r="B53" t="s">
        <v>35</v>
      </c>
      <c r="C53" cm="1">
        <f t="array" ref="C53:H55">C29:H31</f>
        <v>2</v>
      </c>
      <c r="D53">
        <v>4</v>
      </c>
      <c r="E53">
        <v>1</v>
      </c>
      <c r="F53">
        <v>1</v>
      </c>
      <c r="G53">
        <v>0</v>
      </c>
      <c r="H53">
        <v>0</v>
      </c>
      <c r="J53">
        <v>50</v>
      </c>
    </row>
    <row r="54" spans="2:10" x14ac:dyDescent="0.2">
      <c r="C54">
        <v>3</v>
      </c>
      <c r="D54">
        <v>2</v>
      </c>
      <c r="E54">
        <v>2</v>
      </c>
      <c r="F54">
        <v>0</v>
      </c>
      <c r="G54">
        <v>1</v>
      </c>
      <c r="H54">
        <v>0</v>
      </c>
      <c r="J54">
        <v>40</v>
      </c>
    </row>
    <row r="55" spans="2:10" x14ac:dyDescent="0.2">
      <c r="C55">
        <v>1</v>
      </c>
      <c r="D55">
        <v>5</v>
      </c>
      <c r="E55">
        <v>3</v>
      </c>
      <c r="F55">
        <v>0</v>
      </c>
      <c r="G55">
        <v>0</v>
      </c>
      <c r="H55">
        <v>1</v>
      </c>
      <c r="J55">
        <v>60</v>
      </c>
    </row>
    <row r="57" spans="2:10" x14ac:dyDescent="0.2">
      <c r="B57" t="s">
        <v>19</v>
      </c>
      <c r="C57" t="s">
        <v>38</v>
      </c>
      <c r="D57" t="s">
        <v>37</v>
      </c>
      <c r="E57" t="s">
        <v>9</v>
      </c>
      <c r="G57" t="s">
        <v>18</v>
      </c>
      <c r="H57" t="s">
        <v>4</v>
      </c>
      <c r="I57" t="s">
        <v>3</v>
      </c>
      <c r="J57" t="s">
        <v>39</v>
      </c>
    </row>
    <row r="59" spans="2:10" x14ac:dyDescent="0.2">
      <c r="C59">
        <v>4</v>
      </c>
      <c r="D59">
        <v>2</v>
      </c>
      <c r="E59">
        <v>0</v>
      </c>
      <c r="H59">
        <v>0</v>
      </c>
      <c r="I59">
        <v>1</v>
      </c>
      <c r="J59">
        <v>1</v>
      </c>
    </row>
    <row r="60" spans="2:10" x14ac:dyDescent="0.2">
      <c r="B60" t="s">
        <v>21</v>
      </c>
      <c r="C60">
        <v>2</v>
      </c>
      <c r="D60">
        <v>3</v>
      </c>
      <c r="E60">
        <v>0</v>
      </c>
      <c r="G60" t="s">
        <v>20</v>
      </c>
      <c r="H60">
        <v>1</v>
      </c>
      <c r="I60">
        <v>0</v>
      </c>
      <c r="J60">
        <v>2</v>
      </c>
    </row>
    <row r="61" spans="2:10" x14ac:dyDescent="0.2">
      <c r="C61">
        <v>5</v>
      </c>
      <c r="D61">
        <v>1</v>
      </c>
      <c r="E61">
        <v>1</v>
      </c>
      <c r="H61">
        <v>0</v>
      </c>
      <c r="I61">
        <v>0</v>
      </c>
      <c r="J61">
        <v>3</v>
      </c>
    </row>
    <row r="63" spans="2:10" x14ac:dyDescent="0.2">
      <c r="B63" t="s">
        <v>41</v>
      </c>
      <c r="C63">
        <v>100</v>
      </c>
      <c r="D63">
        <v>120</v>
      </c>
      <c r="E63">
        <v>0</v>
      </c>
      <c r="G63" t="s">
        <v>23</v>
      </c>
      <c r="H63">
        <v>0</v>
      </c>
      <c r="I63">
        <v>0</v>
      </c>
      <c r="J63">
        <v>90</v>
      </c>
    </row>
    <row r="65" spans="2:11" x14ac:dyDescent="0.2">
      <c r="C65" t="s">
        <v>0</v>
      </c>
      <c r="D65" t="s">
        <v>37</v>
      </c>
      <c r="E65" t="s">
        <v>38</v>
      </c>
      <c r="F65" s="40" t="s">
        <v>39</v>
      </c>
      <c r="G65" t="s">
        <v>3</v>
      </c>
      <c r="H65" t="s">
        <v>4</v>
      </c>
      <c r="I65" t="s">
        <v>9</v>
      </c>
      <c r="J65" t="s">
        <v>5</v>
      </c>
    </row>
    <row r="66" spans="2:11" x14ac:dyDescent="0.2">
      <c r="B66" t="s">
        <v>0</v>
      </c>
      <c r="C66">
        <v>1</v>
      </c>
      <c r="D66" cm="1">
        <f t="array" ref="D66:I66">MMULT(MMULT(C63:E63,MINVERSE(C59:E61)),C53:H55)-C51:H51</f>
        <v>0</v>
      </c>
      <c r="E66">
        <v>0</v>
      </c>
      <c r="F66" s="40">
        <v>-12.5</v>
      </c>
      <c r="G66">
        <v>7.5</v>
      </c>
      <c r="H66">
        <v>35</v>
      </c>
      <c r="I66">
        <v>0</v>
      </c>
      <c r="J66" cm="1">
        <f t="array" ref="J66">MMULT(MMULT(C63:E63,MINVERSE(C59:E61)),J53:J55)</f>
        <v>1775</v>
      </c>
      <c r="K66" t="s">
        <v>29</v>
      </c>
    </row>
    <row r="67" spans="2:11" x14ac:dyDescent="0.2">
      <c r="B67" t="s">
        <v>38</v>
      </c>
      <c r="C67">
        <v>0</v>
      </c>
      <c r="D67" cm="1">
        <f t="array" ref="D67:I69">MMULT(MINVERSE(C59:E61),C53:H55)</f>
        <v>0</v>
      </c>
      <c r="E67">
        <v>1</v>
      </c>
      <c r="F67" s="40">
        <v>-0.125</v>
      </c>
      <c r="G67">
        <v>0.375</v>
      </c>
      <c r="H67">
        <v>-0.25</v>
      </c>
      <c r="I67">
        <v>0</v>
      </c>
      <c r="J67" cm="1">
        <f t="array" ref="J67:J69">MMULT(MINVERSE(C59:E61),J53:J55)</f>
        <v>8.75</v>
      </c>
      <c r="K67">
        <f>J67/F67</f>
        <v>-70</v>
      </c>
    </row>
    <row r="68" spans="2:11" x14ac:dyDescent="0.2">
      <c r="B68" t="s">
        <v>37</v>
      </c>
      <c r="C68">
        <v>0</v>
      </c>
      <c r="D68">
        <v>1</v>
      </c>
      <c r="E68">
        <v>0</v>
      </c>
      <c r="F68" s="40">
        <v>0.75</v>
      </c>
      <c r="G68">
        <v>-0.25</v>
      </c>
      <c r="H68">
        <v>0.5</v>
      </c>
      <c r="I68">
        <v>0</v>
      </c>
      <c r="J68">
        <v>7.5</v>
      </c>
      <c r="K68">
        <f t="shared" ref="K68:K69" si="2">J68/F68</f>
        <v>10</v>
      </c>
    </row>
    <row r="69" spans="2:11" x14ac:dyDescent="0.2">
      <c r="B69" s="40" t="s">
        <v>9</v>
      </c>
      <c r="C69" s="40">
        <v>0</v>
      </c>
      <c r="D69" s="40">
        <v>-4.4408920985006262E-16</v>
      </c>
      <c r="E69" s="40">
        <v>0</v>
      </c>
      <c r="F69" s="40">
        <v>2.875</v>
      </c>
      <c r="G69" s="40">
        <v>-1.625</v>
      </c>
      <c r="H69" s="40">
        <v>0.74999999999999989</v>
      </c>
      <c r="I69" s="40">
        <v>1</v>
      </c>
      <c r="J69" s="40">
        <v>8.75</v>
      </c>
      <c r="K69" s="40">
        <f t="shared" si="2"/>
        <v>3.0434782608695654</v>
      </c>
    </row>
    <row r="71" spans="2:11" s="39" customFormat="1" x14ac:dyDescent="0.2"/>
    <row r="73" spans="2:11" x14ac:dyDescent="0.2">
      <c r="B73" t="s">
        <v>36</v>
      </c>
      <c r="C73" t="s">
        <v>37</v>
      </c>
      <c r="D73" t="s">
        <v>38</v>
      </c>
      <c r="E73" t="s">
        <v>39</v>
      </c>
      <c r="F73" t="s">
        <v>3</v>
      </c>
      <c r="G73" t="s">
        <v>4</v>
      </c>
      <c r="H73" t="s">
        <v>9</v>
      </c>
    </row>
    <row r="75" spans="2:11" x14ac:dyDescent="0.2">
      <c r="B75" t="s">
        <v>34</v>
      </c>
      <c r="C75">
        <v>120</v>
      </c>
      <c r="D75">
        <v>100</v>
      </c>
      <c r="E75">
        <v>90</v>
      </c>
      <c r="F75">
        <v>0</v>
      </c>
      <c r="G75">
        <v>0</v>
      </c>
      <c r="H75">
        <v>0</v>
      </c>
    </row>
    <row r="76" spans="2:11" x14ac:dyDescent="0.2">
      <c r="J76" t="s">
        <v>40</v>
      </c>
    </row>
    <row r="77" spans="2:11" x14ac:dyDescent="0.2">
      <c r="B77" t="s">
        <v>35</v>
      </c>
      <c r="C77" cm="1">
        <f t="array" ref="C77:H79">C53:H55</f>
        <v>2</v>
      </c>
      <c r="D77">
        <v>4</v>
      </c>
      <c r="E77">
        <v>1</v>
      </c>
      <c r="F77">
        <v>1</v>
      </c>
      <c r="G77">
        <v>0</v>
      </c>
      <c r="H77">
        <v>0</v>
      </c>
      <c r="J77">
        <v>50</v>
      </c>
    </row>
    <row r="78" spans="2:11" x14ac:dyDescent="0.2">
      <c r="C78">
        <v>3</v>
      </c>
      <c r="D78">
        <v>2</v>
      </c>
      <c r="E78">
        <v>2</v>
      </c>
      <c r="F78">
        <v>0</v>
      </c>
      <c r="G78">
        <v>1</v>
      </c>
      <c r="H78">
        <v>0</v>
      </c>
      <c r="J78">
        <v>40</v>
      </c>
    </row>
    <row r="79" spans="2:11" x14ac:dyDescent="0.2">
      <c r="C79">
        <v>1</v>
      </c>
      <c r="D79">
        <v>5</v>
      </c>
      <c r="E79">
        <v>3</v>
      </c>
      <c r="F79">
        <v>0</v>
      </c>
      <c r="G79">
        <v>0</v>
      </c>
      <c r="H79">
        <v>1</v>
      </c>
      <c r="J79">
        <v>60</v>
      </c>
    </row>
    <row r="81" spans="1:11" x14ac:dyDescent="0.2">
      <c r="B81" t="s">
        <v>19</v>
      </c>
      <c r="C81" t="s">
        <v>38</v>
      </c>
      <c r="D81" t="s">
        <v>37</v>
      </c>
      <c r="E81" t="s">
        <v>39</v>
      </c>
      <c r="G81" t="s">
        <v>18</v>
      </c>
      <c r="H81" t="s">
        <v>4</v>
      </c>
      <c r="I81" t="s">
        <v>3</v>
      </c>
      <c r="J81" t="s">
        <v>9</v>
      </c>
    </row>
    <row r="83" spans="1:11" x14ac:dyDescent="0.2">
      <c r="C83">
        <v>4</v>
      </c>
      <c r="D83">
        <v>2</v>
      </c>
      <c r="E83">
        <v>1</v>
      </c>
      <c r="H83">
        <v>0</v>
      </c>
      <c r="I83">
        <v>1</v>
      </c>
      <c r="J83">
        <v>0</v>
      </c>
    </row>
    <row r="84" spans="1:11" x14ac:dyDescent="0.2">
      <c r="B84" t="s">
        <v>21</v>
      </c>
      <c r="C84">
        <v>2</v>
      </c>
      <c r="D84">
        <v>3</v>
      </c>
      <c r="E84">
        <v>2</v>
      </c>
      <c r="G84" t="s">
        <v>20</v>
      </c>
      <c r="H84">
        <v>1</v>
      </c>
      <c r="I84">
        <v>0</v>
      </c>
      <c r="J84">
        <v>0</v>
      </c>
    </row>
    <row r="85" spans="1:11" x14ac:dyDescent="0.2">
      <c r="A85" t="s">
        <v>52</v>
      </c>
      <c r="C85">
        <v>5</v>
      </c>
      <c r="D85">
        <v>1</v>
      </c>
      <c r="E85">
        <v>3</v>
      </c>
      <c r="H85">
        <v>0</v>
      </c>
      <c r="I85">
        <v>0</v>
      </c>
      <c r="J85">
        <v>1</v>
      </c>
    </row>
    <row r="86" spans="1:11" x14ac:dyDescent="0.2">
      <c r="A86" t="s">
        <v>32</v>
      </c>
    </row>
    <row r="87" spans="1:11" x14ac:dyDescent="0.2">
      <c r="B87" t="s">
        <v>41</v>
      </c>
      <c r="C87">
        <v>100</v>
      </c>
      <c r="D87">
        <v>120</v>
      </c>
      <c r="E87">
        <v>90</v>
      </c>
      <c r="G87" t="s">
        <v>23</v>
      </c>
      <c r="H87">
        <v>0</v>
      </c>
      <c r="I87">
        <v>0</v>
      </c>
      <c r="J87">
        <v>0</v>
      </c>
    </row>
    <row r="89" spans="1:11" x14ac:dyDescent="0.2">
      <c r="C89" t="s">
        <v>0</v>
      </c>
      <c r="D89" t="s">
        <v>37</v>
      </c>
      <c r="E89" t="s">
        <v>38</v>
      </c>
      <c r="F89" t="s">
        <v>39</v>
      </c>
      <c r="G89" t="s">
        <v>3</v>
      </c>
      <c r="H89" t="s">
        <v>4</v>
      </c>
      <c r="I89" t="s">
        <v>9</v>
      </c>
      <c r="J89" t="s">
        <v>5</v>
      </c>
    </row>
    <row r="90" spans="1:11" ht="16" thickBot="1" x14ac:dyDescent="0.25">
      <c r="B90" t="s">
        <v>0</v>
      </c>
      <c r="C90">
        <v>1</v>
      </c>
      <c r="D90" cm="1">
        <f t="array" ref="D90:I90">MMULT(MMULT(C87:E87,MINVERSE(C83:E85)),C77:H79)-C75:H75</f>
        <v>0</v>
      </c>
      <c r="E90">
        <v>0</v>
      </c>
      <c r="F90">
        <v>0</v>
      </c>
      <c r="G90">
        <v>0.43478260869564878</v>
      </c>
      <c r="H90">
        <v>38.260869565217384</v>
      </c>
      <c r="I90">
        <v>4.3478260869565233</v>
      </c>
      <c r="J90" s="41" cm="1">
        <f t="array" ref="J90">MMULT(MMULT(C87:E87,MINVERSE(C83:E85)),J77:J79)</f>
        <v>1813.0434782608691</v>
      </c>
      <c r="K90" t="s">
        <v>29</v>
      </c>
    </row>
    <row r="91" spans="1:11" x14ac:dyDescent="0.2">
      <c r="B91" t="s">
        <v>38</v>
      </c>
      <c r="C91">
        <v>0</v>
      </c>
      <c r="D91" cm="1">
        <f t="array" ref="D91:I93">MMULT(MINVERSE(C83:E85),C77:H79)</f>
        <v>-1.8041124150158794E-16</v>
      </c>
      <c r="E91">
        <v>0.99999999999999978</v>
      </c>
      <c r="F91">
        <v>-5.5511151231257827E-17</v>
      </c>
      <c r="G91">
        <v>0.30434782608695643</v>
      </c>
      <c r="H91">
        <v>-0.21739130434782608</v>
      </c>
      <c r="I91">
        <v>4.347826086956523E-2</v>
      </c>
      <c r="J91" s="42" cm="1">
        <f t="array" ref="J91:J93">MMULT(MINVERSE(C83:E85),J77:J79)</f>
        <v>9.1304347826086918</v>
      </c>
      <c r="K91">
        <f>J91/F91</f>
        <v>-1.6447929073874848E+17</v>
      </c>
    </row>
    <row r="92" spans="1:11" x14ac:dyDescent="0.2">
      <c r="B92" t="s">
        <v>37</v>
      </c>
      <c r="C92">
        <v>0</v>
      </c>
      <c r="D92">
        <v>0.99999999999999989</v>
      </c>
      <c r="E92">
        <v>0</v>
      </c>
      <c r="F92">
        <v>1.1102230246251565E-16</v>
      </c>
      <c r="G92">
        <v>0.17391304347826078</v>
      </c>
      <c r="H92">
        <v>0.30434782608695654</v>
      </c>
      <c r="I92">
        <v>-0.26086956521739124</v>
      </c>
      <c r="J92" s="43">
        <v>5.2173913043478262</v>
      </c>
      <c r="K92">
        <f t="shared" ref="K92:K93" si="3">J92/F92</f>
        <v>4.6994083068213872E+16</v>
      </c>
    </row>
    <row r="93" spans="1:11" ht="16" thickBot="1" x14ac:dyDescent="0.25">
      <c r="B93" t="s">
        <v>39</v>
      </c>
      <c r="C93">
        <v>0</v>
      </c>
      <c r="D93">
        <v>5.5511151231257827E-17</v>
      </c>
      <c r="E93">
        <v>2.2204460492503131E-16</v>
      </c>
      <c r="F93">
        <v>0.99999999999999978</v>
      </c>
      <c r="G93">
        <v>-0.56521739130434767</v>
      </c>
      <c r="H93">
        <v>0.26086956521739124</v>
      </c>
      <c r="I93">
        <v>0.34782608695652167</v>
      </c>
      <c r="J93" s="44">
        <v>3.0434782608695663</v>
      </c>
      <c r="K93">
        <f t="shared" si="3"/>
        <v>3.0434782608695672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0057-3D8E-4170-97EE-D241E12F19A7}">
  <dimension ref="B2:L3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3" max="3" width="12.6640625" bestFit="1" customWidth="1"/>
    <col min="6" max="6" width="12.6640625" bestFit="1" customWidth="1"/>
  </cols>
  <sheetData>
    <row r="2" spans="2:12" x14ac:dyDescent="0.2">
      <c r="B2" t="s">
        <v>19</v>
      </c>
      <c r="C2" t="s">
        <v>38</v>
      </c>
      <c r="D2" t="s">
        <v>37</v>
      </c>
      <c r="E2" t="s">
        <v>39</v>
      </c>
      <c r="G2" t="s">
        <v>18</v>
      </c>
      <c r="H2" t="s">
        <v>4</v>
      </c>
      <c r="I2" t="s">
        <v>3</v>
      </c>
      <c r="J2" t="s">
        <v>9</v>
      </c>
    </row>
    <row r="4" spans="2:12" x14ac:dyDescent="0.2">
      <c r="C4" s="25">
        <v>4</v>
      </c>
      <c r="D4" s="26">
        <v>2</v>
      </c>
      <c r="E4" s="27">
        <v>1</v>
      </c>
      <c r="H4" s="25">
        <v>0</v>
      </c>
      <c r="I4" s="26">
        <v>1</v>
      </c>
      <c r="J4" s="27">
        <v>0</v>
      </c>
    </row>
    <row r="5" spans="2:12" x14ac:dyDescent="0.2">
      <c r="B5" t="s">
        <v>21</v>
      </c>
      <c r="C5" s="28">
        <v>2</v>
      </c>
      <c r="D5">
        <v>3</v>
      </c>
      <c r="E5" s="29">
        <v>2</v>
      </c>
      <c r="G5" t="s">
        <v>20</v>
      </c>
      <c r="H5" s="28">
        <v>1</v>
      </c>
      <c r="I5">
        <v>0</v>
      </c>
      <c r="J5" s="29">
        <v>0</v>
      </c>
    </row>
    <row r="6" spans="2:12" x14ac:dyDescent="0.2">
      <c r="C6" s="30">
        <v>5</v>
      </c>
      <c r="D6" s="31">
        <v>1</v>
      </c>
      <c r="E6" s="32">
        <v>3</v>
      </c>
      <c r="H6" s="30">
        <v>0</v>
      </c>
      <c r="I6" s="31">
        <v>0</v>
      </c>
      <c r="J6" s="32">
        <v>1</v>
      </c>
    </row>
    <row r="7" spans="2:12" x14ac:dyDescent="0.2">
      <c r="L7" t="s">
        <v>40</v>
      </c>
    </row>
    <row r="8" spans="2:12" x14ac:dyDescent="0.2">
      <c r="B8" t="s">
        <v>42</v>
      </c>
      <c r="C8" s="25" cm="1">
        <f t="array" ref="C8:E10">MINVERSE(C4:E6)</f>
        <v>0.30434782608695643</v>
      </c>
      <c r="D8" s="26">
        <v>-0.21739130434782608</v>
      </c>
      <c r="E8" s="27">
        <v>4.347826086956523E-2</v>
      </c>
      <c r="H8" t="s">
        <v>54</v>
      </c>
      <c r="I8" t="s">
        <v>53</v>
      </c>
      <c r="J8" t="s">
        <v>55</v>
      </c>
      <c r="L8" s="34">
        <v>50</v>
      </c>
    </row>
    <row r="9" spans="2:12" x14ac:dyDescent="0.2">
      <c r="C9" s="28">
        <v>0.17391304347826078</v>
      </c>
      <c r="D9">
        <v>0.30434782608695654</v>
      </c>
      <c r="E9" s="29">
        <v>-0.26086956521739124</v>
      </c>
      <c r="H9" s="25">
        <v>1</v>
      </c>
      <c r="I9" s="26">
        <v>0</v>
      </c>
      <c r="J9" s="27">
        <v>0</v>
      </c>
      <c r="L9" s="35">
        <v>40</v>
      </c>
    </row>
    <row r="10" spans="2:12" x14ac:dyDescent="0.2">
      <c r="C10" s="30">
        <v>-0.56521739130434767</v>
      </c>
      <c r="D10" s="31">
        <v>0.26086956521739124</v>
      </c>
      <c r="E10" s="32">
        <v>0.34782608695652167</v>
      </c>
      <c r="H10" s="28">
        <v>0</v>
      </c>
      <c r="I10">
        <v>1</v>
      </c>
      <c r="J10" s="29">
        <v>0</v>
      </c>
      <c r="L10" s="36">
        <v>60</v>
      </c>
    </row>
    <row r="11" spans="2:12" x14ac:dyDescent="0.2">
      <c r="H11" s="30">
        <v>0</v>
      </c>
      <c r="I11" s="31">
        <v>0</v>
      </c>
      <c r="J11" s="32">
        <v>1</v>
      </c>
    </row>
    <row r="12" spans="2:12" x14ac:dyDescent="0.2">
      <c r="B12" t="s">
        <v>43</v>
      </c>
      <c r="C12" s="34" cm="1">
        <f t="array" ref="C12:C14">MMULT(_xlfn.ANCHORARRAY(C8),L8:L10)</f>
        <v>9.1304347826086918</v>
      </c>
    </row>
    <row r="13" spans="2:12" x14ac:dyDescent="0.2">
      <c r="C13" s="51">
        <v>5.2173913043478262</v>
      </c>
    </row>
    <row r="14" spans="2:12" x14ac:dyDescent="0.2">
      <c r="C14" s="52">
        <v>3.0434782608695663</v>
      </c>
    </row>
    <row r="16" spans="2:12" x14ac:dyDescent="0.2">
      <c r="B16" t="s">
        <v>46</v>
      </c>
      <c r="C16" s="34" cm="1">
        <f t="array" ref="C16:C18">MMULT(_xlfn.ANCHORARRAY(C8),H9:H11)</f>
        <v>0.30434782608695643</v>
      </c>
      <c r="E16" t="s">
        <v>47</v>
      </c>
      <c r="F16" s="34" cm="1">
        <f t="array" ref="F16:F18">MMULT(_xlfn.ANCHORARRAY(C8),I9:I11)</f>
        <v>-0.21739130434782608</v>
      </c>
      <c r="H16" t="s">
        <v>48</v>
      </c>
      <c r="I16" s="34" cm="1">
        <f t="array" ref="I16:I18">MMULT(_xlfn.ANCHORARRAY(C8),J9:J11)</f>
        <v>4.347826086956523E-2</v>
      </c>
    </row>
    <row r="17" spans="2:9" x14ac:dyDescent="0.2">
      <c r="C17" s="35">
        <v>0.17391304347826078</v>
      </c>
      <c r="F17" s="51">
        <v>0.30434782608695654</v>
      </c>
      <c r="I17" s="35">
        <v>-0.26086956521739124</v>
      </c>
    </row>
    <row r="18" spans="2:9" x14ac:dyDescent="0.2">
      <c r="C18" s="36">
        <v>-0.56521739130434767</v>
      </c>
      <c r="F18" s="52">
        <v>0.26086956521739124</v>
      </c>
      <c r="I18" s="36">
        <v>0.34782608695652167</v>
      </c>
    </row>
    <row r="20" spans="2:9" x14ac:dyDescent="0.2">
      <c r="C20" s="34" cm="1">
        <f t="array" ref="C20:C22">-_xlfn.ANCHORARRAY($C$12)/_xlfn.ANCHORARRAY(C16)</f>
        <v>-29.999999999999996</v>
      </c>
      <c r="F20" s="34" cm="1">
        <f t="array" ref="F20:F22">-_xlfn.ANCHORARRAY($C$12)/_xlfn.ANCHORARRAY(F16)</f>
        <v>41.999999999999986</v>
      </c>
      <c r="I20" s="50" cm="1">
        <f t="array" ref="I20:I22">-_xlfn.ANCHORARRAY($C$12)/_xlfn.ANCHORARRAY(I16)</f>
        <v>-209.99999999999986</v>
      </c>
    </row>
    <row r="21" spans="2:9" x14ac:dyDescent="0.2">
      <c r="C21" s="35">
        <v>-30.000000000000014</v>
      </c>
      <c r="F21" s="46">
        <v>-17.142857142857142</v>
      </c>
      <c r="G21" s="40">
        <f>C13/F17</f>
        <v>17.142857142857142</v>
      </c>
      <c r="I21" s="35">
        <v>20.000000000000004</v>
      </c>
    </row>
    <row r="22" spans="2:9" x14ac:dyDescent="0.2">
      <c r="C22" s="36">
        <v>5.3846153846153877</v>
      </c>
      <c r="F22" s="47">
        <v>-11.666666666666673</v>
      </c>
      <c r="G22" s="40">
        <f>C14/F18</f>
        <v>11.666666666666673</v>
      </c>
      <c r="I22" s="36">
        <v>-8.7500000000000053</v>
      </c>
    </row>
    <row r="25" spans="2:9" x14ac:dyDescent="0.2">
      <c r="B25" t="s">
        <v>49</v>
      </c>
    </row>
    <row r="26" spans="2:9" x14ac:dyDescent="0.2">
      <c r="B26" t="s">
        <v>50</v>
      </c>
      <c r="C26" s="34">
        <f>C21</f>
        <v>-30.000000000000014</v>
      </c>
      <c r="F26" s="34">
        <f>F22</f>
        <v>-11.666666666666673</v>
      </c>
      <c r="I26" s="34">
        <f>I22</f>
        <v>-8.7500000000000053</v>
      </c>
    </row>
    <row r="27" spans="2:9" x14ac:dyDescent="0.2">
      <c r="B27" t="s">
        <v>51</v>
      </c>
      <c r="C27" s="36">
        <f>MAX(_xlfn.ANCHORARRAY(C20))</f>
        <v>5.3846153846153877</v>
      </c>
      <c r="F27" s="36">
        <f t="shared" ref="F27:I27" si="0">MAX(_xlfn.ANCHORARRAY(F20))</f>
        <v>41.999999999999986</v>
      </c>
      <c r="I27" s="36">
        <f t="shared" si="0"/>
        <v>20.000000000000004</v>
      </c>
    </row>
    <row r="29" spans="2:9" x14ac:dyDescent="0.2">
      <c r="B29" t="s">
        <v>57</v>
      </c>
      <c r="C29" s="34">
        <f>$L$8+C26</f>
        <v>19.999999999999986</v>
      </c>
      <c r="F29" s="34">
        <f>$L$9+F26</f>
        <v>28.333333333333329</v>
      </c>
      <c r="I29" s="34">
        <f>$L$10+I26</f>
        <v>51.249999999999993</v>
      </c>
    </row>
    <row r="30" spans="2:9" x14ac:dyDescent="0.2">
      <c r="C30" s="36">
        <f>$L$8+C27</f>
        <v>55.384615384615387</v>
      </c>
      <c r="F30" s="36">
        <f>$L$9+F27</f>
        <v>81.999999999999986</v>
      </c>
      <c r="I30" s="36">
        <f>$L$10+I27</f>
        <v>80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EE79-08FD-4A94-9396-07BEC2FED592}">
  <dimension ref="A2:L81"/>
  <sheetViews>
    <sheetView topLeftCell="A8" zoomScale="85" zoomScaleNormal="85" workbookViewId="0">
      <selection activeCell="O23" sqref="O23"/>
    </sheetView>
  </sheetViews>
  <sheetFormatPr baseColWidth="10" defaultColWidth="8.6640625" defaultRowHeight="15" x14ac:dyDescent="0.2"/>
  <cols>
    <col min="1" max="16384" width="8.6640625" style="1"/>
  </cols>
  <sheetData>
    <row r="2" spans="2:10" x14ac:dyDescent="0.2"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</v>
      </c>
      <c r="H2" s="1" t="s">
        <v>11</v>
      </c>
    </row>
    <row r="4" spans="2:10" x14ac:dyDescent="0.2">
      <c r="B4" s="1" t="s">
        <v>10</v>
      </c>
      <c r="C4" s="1">
        <v>5</v>
      </c>
      <c r="D4" s="1">
        <v>4</v>
      </c>
      <c r="E4" s="1">
        <v>0</v>
      </c>
      <c r="F4" s="1">
        <v>0</v>
      </c>
      <c r="G4" s="1">
        <v>0</v>
      </c>
      <c r="H4" s="1">
        <v>0</v>
      </c>
    </row>
    <row r="5" spans="2:10" x14ac:dyDescent="0.2">
      <c r="J5" s="1" t="s">
        <v>13</v>
      </c>
    </row>
    <row r="6" spans="2:10" x14ac:dyDescent="0.2">
      <c r="B6" s="1" t="s">
        <v>12</v>
      </c>
      <c r="C6" s="1">
        <v>6</v>
      </c>
      <c r="D6" s="1">
        <v>4</v>
      </c>
      <c r="E6" s="1">
        <v>1</v>
      </c>
      <c r="F6" s="1">
        <v>0</v>
      </c>
      <c r="G6" s="1">
        <v>0</v>
      </c>
      <c r="H6" s="1">
        <v>0</v>
      </c>
      <c r="J6" s="1">
        <v>24</v>
      </c>
    </row>
    <row r="7" spans="2:10" x14ac:dyDescent="0.2">
      <c r="C7" s="1">
        <v>1</v>
      </c>
      <c r="D7" s="1">
        <v>2</v>
      </c>
      <c r="E7" s="1">
        <v>0</v>
      </c>
      <c r="F7" s="1">
        <v>1</v>
      </c>
      <c r="G7" s="1">
        <v>0</v>
      </c>
      <c r="H7" s="1">
        <v>0</v>
      </c>
      <c r="J7" s="1">
        <v>6</v>
      </c>
    </row>
    <row r="8" spans="2:10" x14ac:dyDescent="0.2">
      <c r="C8" s="1">
        <v>-1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J8" s="1">
        <v>1</v>
      </c>
    </row>
    <row r="9" spans="2:10" x14ac:dyDescent="0.2"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1</v>
      </c>
      <c r="J9" s="1">
        <v>2</v>
      </c>
    </row>
    <row r="11" spans="2:10" x14ac:dyDescent="0.2">
      <c r="C11" s="1" t="s">
        <v>6</v>
      </c>
      <c r="D11" s="1" t="s">
        <v>7</v>
      </c>
      <c r="E11" s="1" t="s">
        <v>8</v>
      </c>
      <c r="F11" s="1" t="s">
        <v>15</v>
      </c>
      <c r="G11" s="1" t="s">
        <v>16</v>
      </c>
      <c r="H11" s="1" t="s">
        <v>17</v>
      </c>
    </row>
    <row r="13" spans="2:10" x14ac:dyDescent="0.2">
      <c r="B13" s="1" t="s">
        <v>19</v>
      </c>
      <c r="C13" s="1" t="s">
        <v>3</v>
      </c>
      <c r="D13" s="1" t="s">
        <v>4</v>
      </c>
      <c r="E13" s="1" t="s">
        <v>9</v>
      </c>
      <c r="F13" s="1" t="s">
        <v>11</v>
      </c>
      <c r="H13" s="1" t="s">
        <v>18</v>
      </c>
      <c r="I13" s="1" t="s">
        <v>1</v>
      </c>
      <c r="J13" s="1" t="s">
        <v>2</v>
      </c>
    </row>
    <row r="15" spans="2:10" x14ac:dyDescent="0.2">
      <c r="C15" s="1">
        <v>1</v>
      </c>
      <c r="D15" s="1">
        <v>0</v>
      </c>
      <c r="E15" s="1">
        <v>0</v>
      </c>
      <c r="F15" s="1">
        <v>0</v>
      </c>
      <c r="I15" s="1">
        <v>6</v>
      </c>
      <c r="J15" s="1">
        <v>4</v>
      </c>
    </row>
    <row r="16" spans="2:10" x14ac:dyDescent="0.2">
      <c r="B16" s="1" t="s">
        <v>21</v>
      </c>
      <c r="C16" s="1">
        <v>0</v>
      </c>
      <c r="D16" s="1">
        <v>1</v>
      </c>
      <c r="E16" s="1">
        <v>0</v>
      </c>
      <c r="F16" s="1">
        <v>0</v>
      </c>
      <c r="H16" s="1" t="s">
        <v>20</v>
      </c>
      <c r="I16" s="1">
        <v>1</v>
      </c>
      <c r="J16" s="1">
        <v>2</v>
      </c>
    </row>
    <row r="17" spans="1:12" x14ac:dyDescent="0.2">
      <c r="C17" s="1">
        <v>0</v>
      </c>
      <c r="D17" s="1">
        <v>0</v>
      </c>
      <c r="E17" s="1">
        <v>1</v>
      </c>
      <c r="F17" s="1">
        <v>0</v>
      </c>
      <c r="I17" s="1">
        <v>-1</v>
      </c>
      <c r="J17" s="1">
        <v>1</v>
      </c>
    </row>
    <row r="18" spans="1:12" x14ac:dyDescent="0.2">
      <c r="C18" s="1">
        <v>0</v>
      </c>
      <c r="D18" s="1">
        <v>0</v>
      </c>
      <c r="E18" s="1">
        <v>0</v>
      </c>
      <c r="F18" s="1">
        <v>1</v>
      </c>
      <c r="I18" s="1">
        <v>0</v>
      </c>
      <c r="J18" s="1">
        <v>1</v>
      </c>
    </row>
    <row r="20" spans="1:12" x14ac:dyDescent="0.2">
      <c r="B20" s="1" t="s">
        <v>22</v>
      </c>
      <c r="C20" s="1">
        <v>0</v>
      </c>
      <c r="D20" s="1">
        <v>0</v>
      </c>
      <c r="E20" s="1">
        <v>0</v>
      </c>
      <c r="F20" s="1">
        <v>0</v>
      </c>
      <c r="H20" s="1" t="s">
        <v>23</v>
      </c>
      <c r="I20" s="1">
        <v>5</v>
      </c>
      <c r="J20" s="1">
        <v>4</v>
      </c>
    </row>
    <row r="22" spans="1:12" x14ac:dyDescent="0.2">
      <c r="C22" s="2" t="s">
        <v>0</v>
      </c>
      <c r="D22" s="3" t="s">
        <v>1</v>
      </c>
      <c r="E22" s="3" t="s">
        <v>2</v>
      </c>
      <c r="F22" s="3" t="s">
        <v>3</v>
      </c>
      <c r="G22" s="3" t="s">
        <v>4</v>
      </c>
      <c r="H22" s="3" t="s">
        <v>9</v>
      </c>
      <c r="I22" s="3" t="s">
        <v>11</v>
      </c>
      <c r="J22" s="4" t="s">
        <v>5</v>
      </c>
    </row>
    <row r="23" spans="1:12" x14ac:dyDescent="0.2">
      <c r="B23" s="15" t="s">
        <v>0</v>
      </c>
      <c r="C23" s="15">
        <v>1</v>
      </c>
      <c r="D23" s="16" cm="1">
        <f t="array" ref="D23:I23">MMULT(MMULT(C20:F20,MINVERSE(C15:F18)),C6:H9)-C4:H4</f>
        <v>-5</v>
      </c>
      <c r="E23" s="13">
        <v>-4</v>
      </c>
      <c r="F23" s="13">
        <v>0</v>
      </c>
      <c r="G23" s="13">
        <v>0</v>
      </c>
      <c r="H23" s="13">
        <v>0</v>
      </c>
      <c r="I23" s="13">
        <v>0</v>
      </c>
      <c r="J23" s="15" cm="1">
        <f t="array" ref="J23">MMULT(MMULT(C20:F20,MINVERSE(C15:F18)),J6:J9)</f>
        <v>0</v>
      </c>
      <c r="K23" s="1" t="s">
        <v>24</v>
      </c>
    </row>
    <row r="24" spans="1:12" x14ac:dyDescent="0.2">
      <c r="B24" s="21" t="str" cm="1">
        <f t="array" ref="B24:B27">TRANSPOSE(C13:F13)</f>
        <v>s1</v>
      </c>
      <c r="C24" s="21">
        <v>0</v>
      </c>
      <c r="D24" s="17" cm="1">
        <f t="array" ref="D24:I27">MMULT(MINVERSE(C15:F18),C6:H9)</f>
        <v>6</v>
      </c>
      <c r="E24" s="17">
        <v>4</v>
      </c>
      <c r="F24" s="17">
        <v>1</v>
      </c>
      <c r="G24" s="17">
        <v>0</v>
      </c>
      <c r="H24" s="17">
        <v>0</v>
      </c>
      <c r="I24" s="22">
        <v>0</v>
      </c>
      <c r="J24" s="21" cm="1">
        <f t="array" ref="J24:J27">MMULT(MINVERSE(C15:F18),J6:J9)</f>
        <v>24</v>
      </c>
      <c r="K24" s="17">
        <f>J24/D24</f>
        <v>4</v>
      </c>
      <c r="L24" s="20" t="s">
        <v>25</v>
      </c>
    </row>
    <row r="25" spans="1:12" x14ac:dyDescent="0.2">
      <c r="B25" s="10" t="str">
        <v>s2</v>
      </c>
      <c r="C25" s="10">
        <v>0</v>
      </c>
      <c r="D25" s="17">
        <v>1</v>
      </c>
      <c r="E25" s="1">
        <v>2</v>
      </c>
      <c r="F25" s="1">
        <v>0</v>
      </c>
      <c r="G25" s="1">
        <v>1</v>
      </c>
      <c r="H25" s="1">
        <v>0</v>
      </c>
      <c r="I25" s="6">
        <v>0</v>
      </c>
      <c r="J25" s="10">
        <v>6</v>
      </c>
      <c r="K25" s="1">
        <f t="shared" ref="K25:K27" si="0">J25/D25</f>
        <v>6</v>
      </c>
    </row>
    <row r="26" spans="1:12" x14ac:dyDescent="0.2">
      <c r="B26" s="10" t="str">
        <v>s3</v>
      </c>
      <c r="C26" s="10">
        <v>0</v>
      </c>
      <c r="D26" s="17">
        <v>-1</v>
      </c>
      <c r="E26" s="1">
        <v>1</v>
      </c>
      <c r="F26" s="1">
        <v>0</v>
      </c>
      <c r="G26" s="1">
        <v>0</v>
      </c>
      <c r="H26" s="1">
        <v>1</v>
      </c>
      <c r="I26" s="6">
        <v>0</v>
      </c>
      <c r="J26" s="10">
        <v>1</v>
      </c>
      <c r="K26" s="19">
        <f t="shared" si="0"/>
        <v>-1</v>
      </c>
    </row>
    <row r="27" spans="1:12" x14ac:dyDescent="0.2">
      <c r="B27" s="11" t="str">
        <v>s4</v>
      </c>
      <c r="C27" s="11">
        <v>0</v>
      </c>
      <c r="D27" s="18">
        <v>0</v>
      </c>
      <c r="E27" s="8">
        <v>1</v>
      </c>
      <c r="F27" s="8">
        <v>0</v>
      </c>
      <c r="G27" s="8">
        <v>0</v>
      </c>
      <c r="H27" s="8">
        <v>0</v>
      </c>
      <c r="I27" s="9">
        <v>1</v>
      </c>
      <c r="J27" s="11">
        <v>2</v>
      </c>
      <c r="K27" s="19" t="e">
        <f t="shared" si="0"/>
        <v>#DIV/0!</v>
      </c>
    </row>
    <row r="29" spans="1:12" x14ac:dyDescent="0.2">
      <c r="A29" s="1" t="s">
        <v>26</v>
      </c>
      <c r="B29" s="1" t="s">
        <v>14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9</v>
      </c>
      <c r="H29" s="1" t="s">
        <v>11</v>
      </c>
    </row>
    <row r="31" spans="1:12" x14ac:dyDescent="0.2">
      <c r="B31" s="1" t="s">
        <v>10</v>
      </c>
      <c r="C31" s="1">
        <v>5</v>
      </c>
      <c r="D31" s="1">
        <v>4</v>
      </c>
      <c r="E31" s="1">
        <v>0</v>
      </c>
      <c r="F31" s="1">
        <v>0</v>
      </c>
      <c r="G31" s="1">
        <v>0</v>
      </c>
      <c r="H31" s="1">
        <v>0</v>
      </c>
    </row>
    <row r="32" spans="1:12" x14ac:dyDescent="0.2">
      <c r="J32" s="1" t="s">
        <v>13</v>
      </c>
    </row>
    <row r="33" spans="2:10" x14ac:dyDescent="0.2">
      <c r="B33" s="1" t="s">
        <v>12</v>
      </c>
      <c r="C33" s="1">
        <v>6</v>
      </c>
      <c r="D33" s="1">
        <v>4</v>
      </c>
      <c r="E33" s="1">
        <v>1</v>
      </c>
      <c r="F33" s="1">
        <v>0</v>
      </c>
      <c r="G33" s="1">
        <v>0</v>
      </c>
      <c r="H33" s="1">
        <v>0</v>
      </c>
      <c r="J33" s="1">
        <v>24</v>
      </c>
    </row>
    <row r="34" spans="2:10" x14ac:dyDescent="0.2">
      <c r="C34" s="1">
        <v>1</v>
      </c>
      <c r="D34" s="1">
        <v>2</v>
      </c>
      <c r="E34" s="1">
        <v>0</v>
      </c>
      <c r="F34" s="1">
        <v>1</v>
      </c>
      <c r="G34" s="1">
        <v>0</v>
      </c>
      <c r="H34" s="1">
        <v>0</v>
      </c>
      <c r="J34" s="1">
        <v>6</v>
      </c>
    </row>
    <row r="35" spans="2:10" x14ac:dyDescent="0.2">
      <c r="C35" s="1">
        <v>-1</v>
      </c>
      <c r="D35" s="1">
        <v>1</v>
      </c>
      <c r="E35" s="1">
        <v>0</v>
      </c>
      <c r="F35" s="1">
        <v>0</v>
      </c>
      <c r="G35" s="1">
        <v>1</v>
      </c>
      <c r="H35" s="1">
        <v>0</v>
      </c>
      <c r="J35" s="1">
        <v>1</v>
      </c>
    </row>
    <row r="36" spans="2:10" x14ac:dyDescent="0.2"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1</v>
      </c>
      <c r="J36" s="1">
        <v>2</v>
      </c>
    </row>
    <row r="38" spans="2:10" x14ac:dyDescent="0.2">
      <c r="C38" s="1" t="s">
        <v>6</v>
      </c>
      <c r="D38" s="1" t="s">
        <v>7</v>
      </c>
      <c r="E38" s="1" t="s">
        <v>8</v>
      </c>
      <c r="F38" s="1" t="s">
        <v>15</v>
      </c>
      <c r="G38" s="1" t="s">
        <v>16</v>
      </c>
      <c r="H38" s="1" t="s">
        <v>17</v>
      </c>
    </row>
    <row r="40" spans="2:10" x14ac:dyDescent="0.2">
      <c r="B40" s="1" t="s">
        <v>19</v>
      </c>
      <c r="C40" s="1" t="s">
        <v>1</v>
      </c>
      <c r="D40" s="1" t="s">
        <v>4</v>
      </c>
      <c r="E40" s="1" t="s">
        <v>9</v>
      </c>
      <c r="F40" s="1" t="s">
        <v>11</v>
      </c>
      <c r="H40" s="1" t="s">
        <v>18</v>
      </c>
      <c r="I40" s="1" t="s">
        <v>3</v>
      </c>
      <c r="J40" s="1" t="s">
        <v>2</v>
      </c>
    </row>
    <row r="42" spans="2:10" x14ac:dyDescent="0.2">
      <c r="C42" s="1">
        <v>6</v>
      </c>
      <c r="D42" s="1">
        <v>0</v>
      </c>
      <c r="E42" s="1">
        <v>0</v>
      </c>
      <c r="F42" s="1">
        <v>0</v>
      </c>
      <c r="I42" s="1">
        <v>1</v>
      </c>
      <c r="J42" s="1">
        <v>4</v>
      </c>
    </row>
    <row r="43" spans="2:10" x14ac:dyDescent="0.2">
      <c r="B43" s="1" t="s">
        <v>21</v>
      </c>
      <c r="C43" s="1">
        <v>1</v>
      </c>
      <c r="D43" s="1">
        <v>1</v>
      </c>
      <c r="E43" s="1">
        <v>0</v>
      </c>
      <c r="F43" s="1">
        <v>0</v>
      </c>
      <c r="H43" s="1" t="s">
        <v>20</v>
      </c>
      <c r="I43" s="1">
        <v>0</v>
      </c>
      <c r="J43" s="1">
        <v>2</v>
      </c>
    </row>
    <row r="44" spans="2:10" x14ac:dyDescent="0.2">
      <c r="C44" s="1">
        <v>-1</v>
      </c>
      <c r="D44" s="1">
        <v>0</v>
      </c>
      <c r="E44" s="1">
        <v>1</v>
      </c>
      <c r="F44" s="1">
        <v>0</v>
      </c>
      <c r="I44" s="1">
        <v>0</v>
      </c>
      <c r="J44" s="1">
        <v>1</v>
      </c>
    </row>
    <row r="45" spans="2:10" x14ac:dyDescent="0.2">
      <c r="C45" s="1">
        <v>0</v>
      </c>
      <c r="D45" s="1">
        <v>0</v>
      </c>
      <c r="E45" s="1">
        <v>0</v>
      </c>
      <c r="F45" s="1">
        <v>1</v>
      </c>
      <c r="I45" s="1">
        <v>0</v>
      </c>
      <c r="J45" s="1">
        <v>1</v>
      </c>
    </row>
    <row r="47" spans="2:10" x14ac:dyDescent="0.2">
      <c r="B47" s="1" t="s">
        <v>22</v>
      </c>
      <c r="C47" s="1">
        <v>5</v>
      </c>
      <c r="D47" s="1">
        <v>0</v>
      </c>
      <c r="E47" s="1">
        <v>0</v>
      </c>
      <c r="F47" s="1">
        <v>0</v>
      </c>
      <c r="H47" s="1" t="s">
        <v>23</v>
      </c>
      <c r="I47" s="1">
        <v>0</v>
      </c>
      <c r="J47" s="1">
        <v>4</v>
      </c>
    </row>
    <row r="49" spans="1:11" x14ac:dyDescent="0.2">
      <c r="C49" s="2" t="s">
        <v>0</v>
      </c>
      <c r="D49" s="3" t="s">
        <v>1</v>
      </c>
      <c r="E49" s="3" t="s">
        <v>2</v>
      </c>
      <c r="F49" s="3" t="s">
        <v>3</v>
      </c>
      <c r="G49" s="3" t="s">
        <v>4</v>
      </c>
      <c r="H49" s="3" t="s">
        <v>9</v>
      </c>
      <c r="I49" s="3" t="s">
        <v>11</v>
      </c>
      <c r="J49" s="4" t="s">
        <v>5</v>
      </c>
    </row>
    <row r="50" spans="1:11" x14ac:dyDescent="0.2">
      <c r="B50" s="15" t="s">
        <v>0</v>
      </c>
      <c r="C50" s="15">
        <v>1</v>
      </c>
      <c r="D50" s="13" cm="1">
        <f t="array" ref="D50:I50">MMULT(MMULT(C47:F47,MINVERSE(C42:F45)),C33:H36)-C31:H31</f>
        <v>0</v>
      </c>
      <c r="E50" s="16">
        <v>-0.66666666666666696</v>
      </c>
      <c r="F50" s="13">
        <v>0.83333333333333326</v>
      </c>
      <c r="G50" s="13">
        <v>0</v>
      </c>
      <c r="H50" s="13">
        <v>0</v>
      </c>
      <c r="I50" s="13">
        <v>0</v>
      </c>
      <c r="J50" s="15" cm="1">
        <f t="array" ref="J50">MMULT(MMULT(C47:F47,MINVERSE(C42:F45)),J33:J36)</f>
        <v>20</v>
      </c>
      <c r="K50" s="1" t="s">
        <v>24</v>
      </c>
    </row>
    <row r="51" spans="1:11" x14ac:dyDescent="0.2">
      <c r="B51" s="10" t="str" cm="1">
        <f t="array" ref="B51:B54">TRANSPOSE(C40:F40)</f>
        <v>x1</v>
      </c>
      <c r="C51" s="10">
        <v>0</v>
      </c>
      <c r="D51" s="1" cm="1">
        <f t="array" ref="D51:I54">MMULT(MINVERSE(C42:F45),C33:H36)</f>
        <v>1</v>
      </c>
      <c r="E51" s="17">
        <v>0.66666666666666663</v>
      </c>
      <c r="F51" s="1">
        <v>0.16666666666666666</v>
      </c>
      <c r="G51" s="1">
        <v>0</v>
      </c>
      <c r="H51" s="1">
        <v>0</v>
      </c>
      <c r="I51" s="6">
        <v>0</v>
      </c>
      <c r="J51" s="10" cm="1">
        <f t="array" ref="J51:J54">MMULT(MINVERSE(C42:F45),J33:J36)</f>
        <v>4</v>
      </c>
      <c r="K51" s="1">
        <f>J51/E51</f>
        <v>6</v>
      </c>
    </row>
    <row r="52" spans="1:11" x14ac:dyDescent="0.2">
      <c r="B52" s="21" t="str">
        <v>s2</v>
      </c>
      <c r="C52" s="21">
        <v>0</v>
      </c>
      <c r="D52" s="17">
        <v>0</v>
      </c>
      <c r="E52" s="17">
        <v>1.3333333333333335</v>
      </c>
      <c r="F52" s="17">
        <v>-0.16666666666666666</v>
      </c>
      <c r="G52" s="17">
        <v>1</v>
      </c>
      <c r="H52" s="17">
        <v>0</v>
      </c>
      <c r="I52" s="22">
        <v>0</v>
      </c>
      <c r="J52" s="21">
        <v>2</v>
      </c>
      <c r="K52" s="17">
        <f t="shared" ref="K52:K54" si="1">J52/E52</f>
        <v>1.4999999999999998</v>
      </c>
    </row>
    <row r="53" spans="1:11" x14ac:dyDescent="0.2">
      <c r="B53" s="10" t="str">
        <v>s3</v>
      </c>
      <c r="C53" s="10">
        <v>0</v>
      </c>
      <c r="D53" s="1">
        <v>0</v>
      </c>
      <c r="E53" s="17">
        <v>1.6666666666666665</v>
      </c>
      <c r="F53" s="1">
        <v>0.16666666666666666</v>
      </c>
      <c r="G53" s="1">
        <v>0</v>
      </c>
      <c r="H53" s="1">
        <v>1</v>
      </c>
      <c r="I53" s="6">
        <v>0</v>
      </c>
      <c r="J53" s="10">
        <v>5</v>
      </c>
      <c r="K53" s="1">
        <f t="shared" si="1"/>
        <v>3.0000000000000004</v>
      </c>
    </row>
    <row r="54" spans="1:11" x14ac:dyDescent="0.2">
      <c r="B54" s="11" t="str">
        <v>s4</v>
      </c>
      <c r="C54" s="11">
        <v>0</v>
      </c>
      <c r="D54" s="8">
        <v>0</v>
      </c>
      <c r="E54" s="18">
        <v>1</v>
      </c>
      <c r="F54" s="8">
        <v>0</v>
      </c>
      <c r="G54" s="8">
        <v>0</v>
      </c>
      <c r="H54" s="8">
        <v>0</v>
      </c>
      <c r="I54" s="9">
        <v>1</v>
      </c>
      <c r="J54" s="11">
        <v>2</v>
      </c>
      <c r="K54" s="1">
        <f t="shared" si="1"/>
        <v>2</v>
      </c>
    </row>
    <row r="56" spans="1:11" x14ac:dyDescent="0.2">
      <c r="A56" s="1" t="s">
        <v>27</v>
      </c>
      <c r="B56" s="1" t="s">
        <v>14</v>
      </c>
      <c r="C56" s="1" t="s">
        <v>1</v>
      </c>
      <c r="D56" s="1" t="s">
        <v>2</v>
      </c>
      <c r="E56" s="1" t="s">
        <v>3</v>
      </c>
      <c r="F56" s="1" t="s">
        <v>4</v>
      </c>
      <c r="G56" s="1" t="s">
        <v>9</v>
      </c>
      <c r="H56" s="1" t="s">
        <v>11</v>
      </c>
    </row>
    <row r="58" spans="1:11" x14ac:dyDescent="0.2">
      <c r="B58" s="1" t="s">
        <v>10</v>
      </c>
      <c r="C58" s="1">
        <v>5</v>
      </c>
      <c r="D58" s="1">
        <v>4</v>
      </c>
      <c r="E58" s="1">
        <v>0</v>
      </c>
      <c r="F58" s="1">
        <v>0</v>
      </c>
      <c r="G58" s="1">
        <v>0</v>
      </c>
      <c r="H58" s="1">
        <v>0</v>
      </c>
    </row>
    <row r="59" spans="1:11" x14ac:dyDescent="0.2">
      <c r="J59" s="1" t="s">
        <v>13</v>
      </c>
    </row>
    <row r="60" spans="1:11" x14ac:dyDescent="0.2">
      <c r="B60" s="1" t="s">
        <v>12</v>
      </c>
      <c r="C60" s="1">
        <v>6</v>
      </c>
      <c r="D60" s="1">
        <v>4</v>
      </c>
      <c r="E60" s="1">
        <v>1</v>
      </c>
      <c r="F60" s="1">
        <v>0</v>
      </c>
      <c r="G60" s="1">
        <v>0</v>
      </c>
      <c r="H60" s="1">
        <v>0</v>
      </c>
      <c r="J60" s="1">
        <v>24</v>
      </c>
    </row>
    <row r="61" spans="1:11" x14ac:dyDescent="0.2">
      <c r="C61" s="1">
        <v>1</v>
      </c>
      <c r="D61" s="1">
        <v>2</v>
      </c>
      <c r="E61" s="1">
        <v>0</v>
      </c>
      <c r="F61" s="1">
        <v>1</v>
      </c>
      <c r="G61" s="1">
        <v>0</v>
      </c>
      <c r="H61" s="1">
        <v>0</v>
      </c>
      <c r="J61" s="1">
        <v>6</v>
      </c>
    </row>
    <row r="62" spans="1:11" x14ac:dyDescent="0.2">
      <c r="C62" s="1">
        <v>-1</v>
      </c>
      <c r="D62" s="1">
        <v>1</v>
      </c>
      <c r="E62" s="1">
        <v>0</v>
      </c>
      <c r="F62" s="1">
        <v>0</v>
      </c>
      <c r="G62" s="1">
        <v>1</v>
      </c>
      <c r="H62" s="1">
        <v>0</v>
      </c>
      <c r="J62" s="1">
        <v>1</v>
      </c>
    </row>
    <row r="63" spans="1:11" x14ac:dyDescent="0.2"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  <c r="J63" s="1">
        <v>2</v>
      </c>
    </row>
    <row r="65" spans="2:11" x14ac:dyDescent="0.2">
      <c r="C65" s="1" t="s">
        <v>6</v>
      </c>
      <c r="D65" s="1" t="s">
        <v>7</v>
      </c>
      <c r="E65" s="1" t="s">
        <v>8</v>
      </c>
      <c r="F65" s="1" t="s">
        <v>15</v>
      </c>
      <c r="G65" s="1" t="s">
        <v>16</v>
      </c>
      <c r="H65" s="1" t="s">
        <v>17</v>
      </c>
    </row>
    <row r="67" spans="2:11" x14ac:dyDescent="0.2">
      <c r="B67" s="1" t="s">
        <v>19</v>
      </c>
      <c r="C67" s="1" t="s">
        <v>1</v>
      </c>
      <c r="D67" s="1" t="s">
        <v>2</v>
      </c>
      <c r="E67" s="1" t="s">
        <v>9</v>
      </c>
      <c r="F67" s="1" t="s">
        <v>11</v>
      </c>
      <c r="H67" s="1" t="s">
        <v>18</v>
      </c>
      <c r="I67" s="1" t="s">
        <v>3</v>
      </c>
      <c r="J67" s="1" t="s">
        <v>4</v>
      </c>
    </row>
    <row r="69" spans="2:11" x14ac:dyDescent="0.2">
      <c r="C69" s="1">
        <v>6</v>
      </c>
      <c r="D69" s="1">
        <v>4</v>
      </c>
      <c r="E69" s="1">
        <v>0</v>
      </c>
      <c r="F69" s="1">
        <v>0</v>
      </c>
      <c r="I69" s="1">
        <v>1</v>
      </c>
      <c r="J69" s="1">
        <v>0</v>
      </c>
    </row>
    <row r="70" spans="2:11" x14ac:dyDescent="0.2">
      <c r="B70" s="1" t="s">
        <v>21</v>
      </c>
      <c r="C70" s="1">
        <v>1</v>
      </c>
      <c r="D70" s="1">
        <v>2</v>
      </c>
      <c r="E70" s="1">
        <v>0</v>
      </c>
      <c r="F70" s="1">
        <v>0</v>
      </c>
      <c r="H70" s="1" t="s">
        <v>20</v>
      </c>
      <c r="I70" s="1">
        <v>0</v>
      </c>
      <c r="J70" s="1">
        <v>1</v>
      </c>
    </row>
    <row r="71" spans="2:11" x14ac:dyDescent="0.2">
      <c r="C71" s="1">
        <v>-1</v>
      </c>
      <c r="D71" s="1">
        <v>1</v>
      </c>
      <c r="E71" s="1">
        <v>1</v>
      </c>
      <c r="F71" s="1">
        <v>0</v>
      </c>
      <c r="I71" s="1">
        <v>0</v>
      </c>
      <c r="J71" s="1">
        <v>0</v>
      </c>
    </row>
    <row r="72" spans="2:11" x14ac:dyDescent="0.2">
      <c r="C72" s="1">
        <v>0</v>
      </c>
      <c r="D72" s="1">
        <v>1</v>
      </c>
      <c r="E72" s="1">
        <v>0</v>
      </c>
      <c r="F72" s="1">
        <v>1</v>
      </c>
      <c r="I72" s="1">
        <v>0</v>
      </c>
      <c r="J72" s="1">
        <v>0</v>
      </c>
    </row>
    <row r="74" spans="2:11" x14ac:dyDescent="0.2">
      <c r="B74" s="1" t="s">
        <v>22</v>
      </c>
      <c r="C74" s="1">
        <v>5</v>
      </c>
      <c r="D74" s="1">
        <v>4</v>
      </c>
      <c r="E74" s="1">
        <v>0</v>
      </c>
      <c r="F74" s="1">
        <v>0</v>
      </c>
      <c r="H74" s="1" t="s">
        <v>23</v>
      </c>
      <c r="I74" s="1">
        <v>0</v>
      </c>
      <c r="J74" s="1">
        <v>0</v>
      </c>
    </row>
    <row r="75" spans="2:11" x14ac:dyDescent="0.2">
      <c r="B75" s="20" t="s">
        <v>28</v>
      </c>
    </row>
    <row r="76" spans="2:11" x14ac:dyDescent="0.2">
      <c r="C76" s="2" t="s">
        <v>0</v>
      </c>
      <c r="D76" s="3" t="s">
        <v>1</v>
      </c>
      <c r="E76" s="3" t="s">
        <v>2</v>
      </c>
      <c r="F76" s="3" t="s">
        <v>3</v>
      </c>
      <c r="G76" s="3" t="s">
        <v>4</v>
      </c>
      <c r="H76" s="3" t="s">
        <v>9</v>
      </c>
      <c r="I76" s="3" t="s">
        <v>11</v>
      </c>
      <c r="J76" s="4" t="s">
        <v>5</v>
      </c>
    </row>
    <row r="77" spans="2:11" x14ac:dyDescent="0.2">
      <c r="B77" s="23" t="s">
        <v>0</v>
      </c>
      <c r="C77" s="23">
        <v>1</v>
      </c>
      <c r="D77" s="24" cm="1">
        <f t="array" ref="D77:I77">MMULT(MMULT(C74:F74,MINVERSE(C69:F72)),C60:H63)-C58:H58</f>
        <v>0</v>
      </c>
      <c r="E77" s="24">
        <v>0</v>
      </c>
      <c r="F77" s="24">
        <v>0.74999999999999989</v>
      </c>
      <c r="G77" s="24">
        <v>0.5</v>
      </c>
      <c r="H77" s="24">
        <v>0</v>
      </c>
      <c r="I77" s="24">
        <v>0</v>
      </c>
      <c r="J77" s="23" cm="1">
        <f t="array" ref="J77">MMULT(MMULT(C74:F74,MINVERSE(C69:F72)),J60:J63)</f>
        <v>20.999999999999996</v>
      </c>
      <c r="K77" s="1" t="s">
        <v>24</v>
      </c>
    </row>
    <row r="78" spans="2:11" x14ac:dyDescent="0.2">
      <c r="B78" s="10" t="str" cm="1">
        <f t="array" ref="B78:B81">TRANSPOSE(C67:F67)</f>
        <v>x1</v>
      </c>
      <c r="C78" s="10">
        <v>0</v>
      </c>
      <c r="D78" s="1" cm="1">
        <f t="array" ref="D78:I81">MMULT(MINVERSE(C69:F72),C60:H63)</f>
        <v>1</v>
      </c>
      <c r="E78" s="1">
        <v>1.1102230246251565E-16</v>
      </c>
      <c r="F78" s="1">
        <v>0.25</v>
      </c>
      <c r="G78" s="1">
        <v>-0.49999999999999994</v>
      </c>
      <c r="H78" s="1">
        <v>0</v>
      </c>
      <c r="I78" s="6">
        <v>0</v>
      </c>
      <c r="J78" s="10" cm="1">
        <f t="array" ref="J78:J81">MMULT(MINVERSE(C69:F72),J60:J63)</f>
        <v>3.0000000000000004</v>
      </c>
      <c r="K78" s="1">
        <f>J78/E78</f>
        <v>2.702159776422298E+16</v>
      </c>
    </row>
    <row r="79" spans="2:11" x14ac:dyDescent="0.2">
      <c r="B79" s="10" t="str">
        <v>x2</v>
      </c>
      <c r="C79" s="10">
        <v>0</v>
      </c>
      <c r="D79" s="1">
        <v>-3.3306690738754696E-16</v>
      </c>
      <c r="E79" s="1">
        <v>0.99999999999999967</v>
      </c>
      <c r="F79" s="1">
        <v>-0.12500000000000003</v>
      </c>
      <c r="G79" s="1">
        <v>0.74999999999999989</v>
      </c>
      <c r="H79" s="1">
        <v>0</v>
      </c>
      <c r="I79" s="6">
        <v>0</v>
      </c>
      <c r="J79" s="10">
        <v>1.4999999999999982</v>
      </c>
      <c r="K79" s="1">
        <f t="shared" ref="K79:K81" si="2">J79/E79</f>
        <v>1.4999999999999987</v>
      </c>
    </row>
    <row r="80" spans="2:11" x14ac:dyDescent="0.2">
      <c r="B80" s="10" t="str">
        <v>s3</v>
      </c>
      <c r="C80" s="10">
        <v>0</v>
      </c>
      <c r="D80" s="1">
        <v>2.2204460492503131E-16</v>
      </c>
      <c r="E80" s="1">
        <v>4.4408920985006262E-16</v>
      </c>
      <c r="F80" s="1">
        <v>0.375</v>
      </c>
      <c r="G80" s="1">
        <v>-1.2499999999999998</v>
      </c>
      <c r="H80" s="1">
        <v>1</v>
      </c>
      <c r="I80" s="6">
        <v>0</v>
      </c>
      <c r="J80" s="10">
        <v>2.5000000000000018</v>
      </c>
      <c r="K80" s="1">
        <f t="shared" si="2"/>
        <v>5629499534213124</v>
      </c>
    </row>
    <row r="81" spans="2:11" x14ac:dyDescent="0.2">
      <c r="B81" s="11" t="str">
        <v>s4</v>
      </c>
      <c r="C81" s="11">
        <v>0</v>
      </c>
      <c r="D81" s="8">
        <v>2.2204460492503131E-16</v>
      </c>
      <c r="E81" s="8">
        <v>1.1102230246251565E-16</v>
      </c>
      <c r="F81" s="8">
        <v>0.12500000000000003</v>
      </c>
      <c r="G81" s="8">
        <v>-0.75</v>
      </c>
      <c r="H81" s="8">
        <v>0</v>
      </c>
      <c r="I81" s="9">
        <v>1</v>
      </c>
      <c r="J81" s="11">
        <v>0.50000000000000089</v>
      </c>
      <c r="K81" s="1">
        <f t="shared" si="2"/>
        <v>4503599627370504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Primal Problem</vt:lpstr>
      <vt:lpstr>Sensitivity - Constraints</vt:lpstr>
      <vt:lpstr>Dual Problem</vt:lpstr>
      <vt:lpstr>Sensitivity - Profit</vt:lpstr>
      <vt:lpstr>CLASSWORK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Schoolcraft, Marsha A.</dc:creator>
  <cp:lastModifiedBy>Mejia Gonzalez, Juan</cp:lastModifiedBy>
  <dcterms:created xsi:type="dcterms:W3CDTF">2025-01-28T19:04:32Z</dcterms:created>
  <dcterms:modified xsi:type="dcterms:W3CDTF">2025-03-13T01:06:09Z</dcterms:modified>
</cp:coreProperties>
</file>