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oners-my.sharepoint.com/personal/juan_mejia_ou_edu/Documents/2024 Fall/Systems Optimization/Homeworks/Homework 3/"/>
    </mc:Choice>
  </mc:AlternateContent>
  <xr:revisionPtr revIDLastSave="0" documentId="8_{7AC951C7-AEDE-8943-9290-C05596CD8957}" xr6:coauthVersionLast="47" xr6:coauthVersionMax="47" xr10:uidLastSave="{00000000-0000-0000-0000-000000000000}"/>
  <bookViews>
    <workbookView xWindow="1880" yWindow="2240" windowWidth="26840" windowHeight="15760" xr2:uid="{DA013C92-6DF3-2344-9A2B-FAE2C9DDCF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M31" i="1" s="1"/>
  <c r="K31" i="1"/>
  <c r="J31" i="1"/>
  <c r="I31" i="1"/>
  <c r="I39" i="1" s="1"/>
  <c r="H31" i="1"/>
  <c r="H39" i="1" s="1"/>
  <c r="G31" i="1"/>
  <c r="G39" i="1" s="1"/>
  <c r="F31" i="1"/>
  <c r="F39" i="1" s="1"/>
  <c r="E31" i="1"/>
  <c r="E39" i="1" s="1"/>
  <c r="D31" i="1"/>
  <c r="C31" i="1"/>
  <c r="M30" i="1"/>
  <c r="L29" i="1"/>
  <c r="K29" i="1"/>
  <c r="J29" i="1"/>
  <c r="I29" i="1"/>
  <c r="I37" i="1" s="1"/>
  <c r="H29" i="1"/>
  <c r="H37" i="1" s="1"/>
  <c r="H45" i="1" s="1"/>
  <c r="G29" i="1"/>
  <c r="F29" i="1"/>
  <c r="E29" i="1"/>
  <c r="D29" i="1"/>
  <c r="D37" i="1" s="1"/>
  <c r="C29" i="1"/>
  <c r="L28" i="1"/>
  <c r="L36" i="1" s="1"/>
  <c r="K28" i="1"/>
  <c r="K36" i="1" s="1"/>
  <c r="J28" i="1"/>
  <c r="J36" i="1" s="1"/>
  <c r="I28" i="1"/>
  <c r="I36" i="1" s="1"/>
  <c r="H28" i="1"/>
  <c r="H36" i="1" s="1"/>
  <c r="G28" i="1"/>
  <c r="G36" i="1" s="1"/>
  <c r="F28" i="1"/>
  <c r="F36" i="1" s="1"/>
  <c r="E28" i="1"/>
  <c r="E36" i="1" s="1"/>
  <c r="D28" i="1"/>
  <c r="D36" i="1" s="1"/>
  <c r="C28" i="1"/>
  <c r="C36" i="1" s="1"/>
  <c r="M23" i="1"/>
  <c r="M22" i="1"/>
  <c r="M21" i="1"/>
  <c r="M20" i="1"/>
  <c r="K19" i="1"/>
  <c r="C19" i="1"/>
  <c r="L11" i="1"/>
  <c r="K11" i="1"/>
  <c r="L19" i="1" s="1"/>
  <c r="L27" i="1" s="1"/>
  <c r="J11" i="1"/>
  <c r="J19" i="1" s="1"/>
  <c r="J27" i="1" s="1"/>
  <c r="I11" i="1"/>
  <c r="H11" i="1"/>
  <c r="H19" i="1" s="1"/>
  <c r="G11" i="1"/>
  <c r="F11" i="1"/>
  <c r="F19" i="1" s="1"/>
  <c r="E11" i="1"/>
  <c r="E19" i="1" s="1"/>
  <c r="E27" i="1" s="1"/>
  <c r="D11" i="1"/>
  <c r="C11" i="1"/>
  <c r="J37" i="1" l="1"/>
  <c r="J45" i="1" s="1"/>
  <c r="C27" i="1"/>
  <c r="J44" i="1"/>
  <c r="J38" i="1"/>
  <c r="J46" i="1" s="1"/>
  <c r="K44" i="1"/>
  <c r="K38" i="1"/>
  <c r="K46" i="1" s="1"/>
  <c r="D38" i="1"/>
  <c r="C37" i="1"/>
  <c r="C45" i="1" s="1"/>
  <c r="I47" i="1"/>
  <c r="D45" i="1"/>
  <c r="D44" i="1" s="1"/>
  <c r="E37" i="1"/>
  <c r="E45" i="1" s="1"/>
  <c r="E47" i="1" s="1"/>
  <c r="J39" i="1"/>
  <c r="J47" i="1" s="1"/>
  <c r="I45" i="1"/>
  <c r="M36" i="1"/>
  <c r="L38" i="1"/>
  <c r="E44" i="1"/>
  <c r="E38" i="1"/>
  <c r="E46" i="1" s="1"/>
  <c r="H47" i="1"/>
  <c r="F27" i="1"/>
  <c r="K27" i="1"/>
  <c r="F38" i="1"/>
  <c r="F46" i="1" s="1"/>
  <c r="L37" i="1"/>
  <c r="G44" i="1"/>
  <c r="G38" i="1"/>
  <c r="G46" i="1" s="1"/>
  <c r="H27" i="1"/>
  <c r="H44" i="1"/>
  <c r="H38" i="1"/>
  <c r="H46" i="1" s="1"/>
  <c r="F37" i="1"/>
  <c r="F45" i="1" s="1"/>
  <c r="F47" i="1" s="1"/>
  <c r="C39" i="1"/>
  <c r="C47" i="1" s="1"/>
  <c r="C44" i="1"/>
  <c r="C38" i="1"/>
  <c r="C46" i="1" s="1"/>
  <c r="G47" i="1"/>
  <c r="K37" i="1"/>
  <c r="K45" i="1" s="1"/>
  <c r="K39" i="1"/>
  <c r="K47" i="1" s="1"/>
  <c r="I44" i="1"/>
  <c r="I38" i="1"/>
  <c r="I46" i="1" s="1"/>
  <c r="G37" i="1"/>
  <c r="G45" i="1" s="1"/>
  <c r="D39" i="1"/>
  <c r="D47" i="1" s="1"/>
  <c r="D19" i="1"/>
  <c r="D27" i="1" s="1"/>
  <c r="D35" i="1" s="1"/>
  <c r="M28" i="1"/>
  <c r="G19" i="1"/>
  <c r="G27" i="1" s="1"/>
  <c r="M29" i="1"/>
  <c r="I19" i="1"/>
  <c r="I27" i="1" s="1"/>
  <c r="L39" i="1"/>
  <c r="F44" i="1" l="1"/>
  <c r="C35" i="1"/>
  <c r="C43" i="1" s="1"/>
  <c r="E35" i="1"/>
  <c r="E43" i="1" s="1"/>
  <c r="M39" i="1"/>
  <c r="I35" i="1"/>
  <c r="I43" i="1" s="1"/>
  <c r="K35" i="1"/>
  <c r="K43" i="1" s="1"/>
  <c r="F35" i="1"/>
  <c r="F43" i="1" s="1"/>
  <c r="L35" i="1"/>
  <c r="D46" i="1"/>
  <c r="D43" i="1"/>
  <c r="M37" i="1"/>
  <c r="L45" i="1"/>
  <c r="L44" i="1" s="1"/>
  <c r="L46" i="1"/>
  <c r="M38" i="1"/>
  <c r="G35" i="1"/>
  <c r="G43" i="1" s="1"/>
  <c r="H35" i="1"/>
  <c r="H43" i="1" s="1"/>
  <c r="J35" i="1"/>
  <c r="J43" i="1" s="1"/>
  <c r="L47" i="1" l="1"/>
  <c r="L43" i="1"/>
</calcChain>
</file>

<file path=xl/sharedStrings.xml><?xml version="1.0" encoding="utf-8"?>
<sst xmlns="http://schemas.openxmlformats.org/spreadsheetml/2006/main" count="92" uniqueCount="11">
  <si>
    <t>Basic</t>
  </si>
  <si>
    <t>z</t>
  </si>
  <si>
    <t>xa</t>
  </si>
  <si>
    <t>xb</t>
  </si>
  <si>
    <t>s1</t>
  </si>
  <si>
    <t>s2</t>
  </si>
  <si>
    <t>s3</t>
  </si>
  <si>
    <t>s4</t>
  </si>
  <si>
    <t>r1</t>
  </si>
  <si>
    <t>r3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</si>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</sst>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2" xfId="0" applyFill="1" applyBorder="1"/>
    <xf numFmtId="0" fontId="0" fillId="2" borderId="5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0" xfId="0" applyFill="1"/>
    <xf numFmtId="0" fontId="0" fillId="2" borderId="8" xfId="0" applyFill="1" applyBorder="1"/>
    <xf numFmtId="0" fontId="0" fillId="3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5D0B-DB33-2F47-9043-70F72932B72B}">
  <dimension ref="B1:M47"/>
  <sheetViews>
    <sheetView tabSelected="1" topLeftCell="A4" workbookViewId="0">
      <selection activeCell="O45" sqref="O45"/>
    </sheetView>
  </sheetViews>
  <sheetFormatPr baseColWidth="10" defaultRowHeight="16" x14ac:dyDescent="0.2"/>
  <sheetData>
    <row r="1" spans="2:12" ht="17" thickBot="1" x14ac:dyDescent="0.25"/>
    <row r="2" spans="2:12" x14ac:dyDescent="0.2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3" t="s">
        <v>10</v>
      </c>
    </row>
    <row r="3" spans="2:12" x14ac:dyDescent="0.2">
      <c r="B3" s="4" t="s">
        <v>1</v>
      </c>
      <c r="C3" s="5">
        <v>1</v>
      </c>
      <c r="D3" s="5">
        <v>-1</v>
      </c>
      <c r="E3" s="5">
        <v>-1</v>
      </c>
      <c r="F3" s="5">
        <v>0</v>
      </c>
      <c r="G3" s="5">
        <v>0</v>
      </c>
      <c r="H3" s="5">
        <v>0</v>
      </c>
      <c r="I3" s="5">
        <v>0</v>
      </c>
      <c r="J3" s="5">
        <v>-10000</v>
      </c>
      <c r="K3" s="5">
        <v>-10000</v>
      </c>
      <c r="L3" s="6">
        <v>0</v>
      </c>
    </row>
    <row r="4" spans="2:12" x14ac:dyDescent="0.2">
      <c r="B4" s="4"/>
      <c r="C4" s="5">
        <v>0</v>
      </c>
      <c r="D4" s="5">
        <v>0.5</v>
      </c>
      <c r="E4" s="5">
        <v>0.2</v>
      </c>
      <c r="F4" s="5">
        <v>-1</v>
      </c>
      <c r="G4" s="5">
        <v>0</v>
      </c>
      <c r="H4" s="5">
        <v>0</v>
      </c>
      <c r="I4" s="5">
        <v>0</v>
      </c>
      <c r="J4" s="5">
        <v>1</v>
      </c>
      <c r="K4" s="5">
        <v>0</v>
      </c>
      <c r="L4" s="6">
        <v>20</v>
      </c>
    </row>
    <row r="5" spans="2:12" x14ac:dyDescent="0.2">
      <c r="B5" s="4"/>
      <c r="C5" s="5">
        <v>0</v>
      </c>
      <c r="D5" s="5">
        <v>1</v>
      </c>
      <c r="E5" s="5">
        <v>-1.5</v>
      </c>
      <c r="F5" s="5">
        <v>0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6">
        <v>0</v>
      </c>
    </row>
    <row r="6" spans="2:12" x14ac:dyDescent="0.2">
      <c r="B6" s="4"/>
      <c r="C6" s="5">
        <v>0</v>
      </c>
      <c r="D6" s="5">
        <v>0</v>
      </c>
      <c r="E6" s="5">
        <v>1</v>
      </c>
      <c r="F6" s="5">
        <v>0</v>
      </c>
      <c r="G6" s="5">
        <v>0</v>
      </c>
      <c r="H6" s="5">
        <v>-1</v>
      </c>
      <c r="I6" s="5">
        <v>0</v>
      </c>
      <c r="J6" s="5">
        <v>0</v>
      </c>
      <c r="K6" s="5">
        <v>1</v>
      </c>
      <c r="L6" s="6">
        <v>0</v>
      </c>
    </row>
    <row r="7" spans="2:12" ht="17" thickBot="1" x14ac:dyDescent="0.25">
      <c r="B7" s="7"/>
      <c r="C7" s="8">
        <v>0</v>
      </c>
      <c r="D7" s="8">
        <v>1</v>
      </c>
      <c r="E7" s="8">
        <v>1</v>
      </c>
      <c r="F7" s="8">
        <v>0</v>
      </c>
      <c r="G7" s="8">
        <v>0</v>
      </c>
      <c r="H7" s="8">
        <v>0</v>
      </c>
      <c r="I7" s="8">
        <v>1</v>
      </c>
      <c r="J7" s="8">
        <v>0</v>
      </c>
      <c r="K7" s="8">
        <v>0</v>
      </c>
      <c r="L7" s="9">
        <v>100</v>
      </c>
    </row>
    <row r="9" spans="2:12" ht="17" thickBot="1" x14ac:dyDescent="0.25"/>
    <row r="10" spans="2:12" x14ac:dyDescent="0.2">
      <c r="B10" s="1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 t="s">
        <v>6</v>
      </c>
      <c r="I10" s="2" t="s">
        <v>7</v>
      </c>
      <c r="J10" s="2" t="s">
        <v>8</v>
      </c>
      <c r="K10" s="2" t="s">
        <v>9</v>
      </c>
      <c r="L10" s="3" t="s">
        <v>10</v>
      </c>
    </row>
    <row r="11" spans="2:12" x14ac:dyDescent="0.2">
      <c r="B11" s="4" t="s">
        <v>1</v>
      </c>
      <c r="C11" s="5">
        <f t="shared" ref="C11:H11" si="0">C3-$J$3*C12</f>
        <v>1</v>
      </c>
      <c r="D11" s="5">
        <f t="shared" si="0"/>
        <v>4999</v>
      </c>
      <c r="E11" s="5">
        <f>E3-$J$3*E12</f>
        <v>1999</v>
      </c>
      <c r="F11" s="5">
        <f t="shared" si="0"/>
        <v>-10000</v>
      </c>
      <c r="G11" s="5">
        <f t="shared" si="0"/>
        <v>0</v>
      </c>
      <c r="H11" s="5">
        <f t="shared" si="0"/>
        <v>0</v>
      </c>
      <c r="I11" s="5">
        <f>I3-$J$3*I12</f>
        <v>0</v>
      </c>
      <c r="J11" s="5">
        <f>J3-$J$3*J12</f>
        <v>0</v>
      </c>
      <c r="K11" s="5">
        <f t="shared" ref="K11:L11" si="1">K3-$J$3*K12</f>
        <v>-10000</v>
      </c>
      <c r="L11" s="6">
        <f t="shared" si="1"/>
        <v>200000</v>
      </c>
    </row>
    <row r="12" spans="2:12" x14ac:dyDescent="0.2">
      <c r="B12" s="4" t="s">
        <v>8</v>
      </c>
      <c r="C12" s="5">
        <v>0</v>
      </c>
      <c r="D12" s="5">
        <v>0.5</v>
      </c>
      <c r="E12" s="5">
        <v>0.2</v>
      </c>
      <c r="F12" s="5">
        <v>-1</v>
      </c>
      <c r="G12" s="5">
        <v>0</v>
      </c>
      <c r="H12" s="5">
        <v>0</v>
      </c>
      <c r="I12" s="5">
        <v>0</v>
      </c>
      <c r="J12" s="5">
        <v>1</v>
      </c>
      <c r="K12" s="5">
        <v>0</v>
      </c>
      <c r="L12" s="6">
        <v>20</v>
      </c>
    </row>
    <row r="13" spans="2:12" x14ac:dyDescent="0.2">
      <c r="B13" s="4" t="s">
        <v>5</v>
      </c>
      <c r="C13" s="5">
        <v>0</v>
      </c>
      <c r="D13" s="5">
        <v>1</v>
      </c>
      <c r="E13" s="5">
        <v>-1.5</v>
      </c>
      <c r="F13" s="5">
        <v>0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6">
        <v>0</v>
      </c>
    </row>
    <row r="14" spans="2:12" x14ac:dyDescent="0.2">
      <c r="B14" s="4" t="s">
        <v>9</v>
      </c>
      <c r="C14" s="5">
        <v>0</v>
      </c>
      <c r="D14" s="5">
        <v>0</v>
      </c>
      <c r="E14" s="5">
        <v>1</v>
      </c>
      <c r="F14" s="5">
        <v>0</v>
      </c>
      <c r="G14" s="5">
        <v>0</v>
      </c>
      <c r="H14" s="5">
        <v>-1</v>
      </c>
      <c r="I14" s="5">
        <v>0</v>
      </c>
      <c r="J14" s="5">
        <v>0</v>
      </c>
      <c r="K14" s="5">
        <v>1</v>
      </c>
      <c r="L14" s="6">
        <v>0</v>
      </c>
    </row>
    <row r="15" spans="2:12" ht="17" thickBot="1" x14ac:dyDescent="0.25">
      <c r="B15" s="7" t="s">
        <v>7</v>
      </c>
      <c r="C15" s="8">
        <v>0</v>
      </c>
      <c r="D15" s="8">
        <v>1</v>
      </c>
      <c r="E15" s="8">
        <v>1</v>
      </c>
      <c r="F15" s="8">
        <v>0</v>
      </c>
      <c r="G15" s="8">
        <v>0</v>
      </c>
      <c r="H15" s="8">
        <v>0</v>
      </c>
      <c r="I15" s="8">
        <v>1</v>
      </c>
      <c r="J15" s="8">
        <v>0</v>
      </c>
      <c r="K15" s="8">
        <v>0</v>
      </c>
      <c r="L15" s="9">
        <v>100</v>
      </c>
    </row>
    <row r="17" spans="2:13" ht="17" thickBot="1" x14ac:dyDescent="0.25"/>
    <row r="18" spans="2:13" x14ac:dyDescent="0.2">
      <c r="B18" s="1" t="s">
        <v>0</v>
      </c>
      <c r="C18" s="2" t="s">
        <v>1</v>
      </c>
      <c r="D18" s="2" t="s">
        <v>2</v>
      </c>
      <c r="E18" s="10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8</v>
      </c>
      <c r="K18" s="2" t="s">
        <v>9</v>
      </c>
      <c r="L18" s="3" t="s">
        <v>10</v>
      </c>
    </row>
    <row r="19" spans="2:13" x14ac:dyDescent="0.2">
      <c r="B19" s="4" t="s">
        <v>1</v>
      </c>
      <c r="C19" s="5">
        <f t="shared" ref="C19:J19" si="2">C11-$K$11*C22</f>
        <v>1</v>
      </c>
      <c r="D19" s="5">
        <f t="shared" si="2"/>
        <v>4999</v>
      </c>
      <c r="E19" s="11">
        <f t="shared" si="2"/>
        <v>11999</v>
      </c>
      <c r="F19" s="5">
        <f t="shared" si="2"/>
        <v>-10000</v>
      </c>
      <c r="G19" s="5">
        <f t="shared" si="2"/>
        <v>0</v>
      </c>
      <c r="H19" s="5">
        <f t="shared" si="2"/>
        <v>-10000</v>
      </c>
      <c r="I19" s="5">
        <f t="shared" si="2"/>
        <v>0</v>
      </c>
      <c r="J19" s="5">
        <f t="shared" si="2"/>
        <v>0</v>
      </c>
      <c r="K19" s="5">
        <f>K11-$K$11*K22</f>
        <v>0</v>
      </c>
      <c r="L19" s="6">
        <f>L11-$K$11*L22</f>
        <v>200000</v>
      </c>
    </row>
    <row r="20" spans="2:13" x14ac:dyDescent="0.2">
      <c r="B20" s="4" t="s">
        <v>8</v>
      </c>
      <c r="C20" s="5">
        <v>0</v>
      </c>
      <c r="D20" s="5">
        <v>0.5</v>
      </c>
      <c r="E20" s="11">
        <v>0.2</v>
      </c>
      <c r="F20" s="5">
        <v>-1</v>
      </c>
      <c r="G20" s="5">
        <v>0</v>
      </c>
      <c r="H20" s="5">
        <v>0</v>
      </c>
      <c r="I20" s="5">
        <v>0</v>
      </c>
      <c r="J20" s="5">
        <v>1</v>
      </c>
      <c r="K20" s="5">
        <v>0</v>
      </c>
      <c r="L20" s="6">
        <v>20</v>
      </c>
      <c r="M20">
        <f>L20/E20</f>
        <v>100</v>
      </c>
    </row>
    <row r="21" spans="2:13" x14ac:dyDescent="0.2">
      <c r="B21" s="4" t="s">
        <v>5</v>
      </c>
      <c r="C21" s="5">
        <v>0</v>
      </c>
      <c r="D21" s="5">
        <v>1</v>
      </c>
      <c r="E21" s="11">
        <v>-1.5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6">
        <v>0</v>
      </c>
      <c r="M21">
        <f t="shared" ref="M21:M23" si="3">L21/E21</f>
        <v>0</v>
      </c>
    </row>
    <row r="22" spans="2:13" x14ac:dyDescent="0.2">
      <c r="B22" s="12" t="s">
        <v>3</v>
      </c>
      <c r="C22" s="11">
        <v>0</v>
      </c>
      <c r="D22" s="11">
        <v>0</v>
      </c>
      <c r="E22" s="11">
        <v>1</v>
      </c>
      <c r="F22" s="11">
        <v>0</v>
      </c>
      <c r="G22" s="11">
        <v>0</v>
      </c>
      <c r="H22" s="11">
        <v>-1</v>
      </c>
      <c r="I22" s="11">
        <v>0</v>
      </c>
      <c r="J22" s="11">
        <v>0</v>
      </c>
      <c r="K22" s="11">
        <v>1</v>
      </c>
      <c r="L22" s="13">
        <v>0</v>
      </c>
      <c r="M22" s="14">
        <f t="shared" si="3"/>
        <v>0</v>
      </c>
    </row>
    <row r="23" spans="2:13" ht="17" thickBot="1" x14ac:dyDescent="0.25">
      <c r="B23" s="7" t="s">
        <v>7</v>
      </c>
      <c r="C23" s="8">
        <v>0</v>
      </c>
      <c r="D23" s="8">
        <v>1</v>
      </c>
      <c r="E23" s="15">
        <v>1</v>
      </c>
      <c r="F23" s="8">
        <v>0</v>
      </c>
      <c r="G23" s="8">
        <v>0</v>
      </c>
      <c r="H23" s="8">
        <v>0</v>
      </c>
      <c r="I23" s="8">
        <v>1</v>
      </c>
      <c r="J23" s="8">
        <v>0</v>
      </c>
      <c r="K23" s="8">
        <v>0</v>
      </c>
      <c r="L23" s="9">
        <v>100</v>
      </c>
      <c r="M23">
        <f t="shared" si="3"/>
        <v>100</v>
      </c>
    </row>
    <row r="25" spans="2:13" ht="17" thickBot="1" x14ac:dyDescent="0.25"/>
    <row r="26" spans="2:13" x14ac:dyDescent="0.2">
      <c r="B26" s="1" t="s">
        <v>0</v>
      </c>
      <c r="C26" s="2" t="s">
        <v>1</v>
      </c>
      <c r="D26" s="10" t="s">
        <v>2</v>
      </c>
      <c r="E26" s="2" t="s">
        <v>3</v>
      </c>
      <c r="F26" s="2" t="s">
        <v>4</v>
      </c>
      <c r="G26" s="2" t="s">
        <v>5</v>
      </c>
      <c r="H26" s="2" t="s">
        <v>6</v>
      </c>
      <c r="I26" s="2" t="s">
        <v>7</v>
      </c>
      <c r="J26" s="2" t="s">
        <v>8</v>
      </c>
      <c r="K26" s="2" t="s">
        <v>9</v>
      </c>
      <c r="L26" s="3" t="s">
        <v>10</v>
      </c>
    </row>
    <row r="27" spans="2:13" x14ac:dyDescent="0.2">
      <c r="B27" s="4" t="s">
        <v>1</v>
      </c>
      <c r="C27" s="5">
        <f t="shared" ref="C27:D27" si="4">C19-$E$19*C30</f>
        <v>1</v>
      </c>
      <c r="D27" s="11">
        <f t="shared" si="4"/>
        <v>4999</v>
      </c>
      <c r="E27" s="5">
        <f>E19-$E$19*E30</f>
        <v>0</v>
      </c>
      <c r="F27" s="5">
        <f t="shared" ref="F27:L27" si="5">F19-$E$19*F30</f>
        <v>-10000</v>
      </c>
      <c r="G27" s="5">
        <f t="shared" si="5"/>
        <v>0</v>
      </c>
      <c r="H27" s="5">
        <f t="shared" si="5"/>
        <v>1999</v>
      </c>
      <c r="I27" s="5">
        <f t="shared" si="5"/>
        <v>0</v>
      </c>
      <c r="J27" s="5">
        <f t="shared" si="5"/>
        <v>0</v>
      </c>
      <c r="K27" s="5">
        <f t="shared" si="5"/>
        <v>-11999</v>
      </c>
      <c r="L27" s="6">
        <f t="shared" si="5"/>
        <v>200000</v>
      </c>
    </row>
    <row r="28" spans="2:13" x14ac:dyDescent="0.2">
      <c r="B28" s="12" t="s">
        <v>8</v>
      </c>
      <c r="C28" s="11">
        <f t="shared" ref="C28:D28" si="6">C20-$E$20*C30</f>
        <v>0</v>
      </c>
      <c r="D28" s="11">
        <f t="shared" si="6"/>
        <v>0.5</v>
      </c>
      <c r="E28" s="11">
        <f>E20-$E$20*E30</f>
        <v>0</v>
      </c>
      <c r="F28" s="11">
        <f t="shared" ref="F28:L28" si="7">F20-$E$20*F30</f>
        <v>-1</v>
      </c>
      <c r="G28" s="11">
        <f t="shared" si="7"/>
        <v>0</v>
      </c>
      <c r="H28" s="11">
        <f t="shared" si="7"/>
        <v>0.2</v>
      </c>
      <c r="I28" s="11">
        <f t="shared" si="7"/>
        <v>0</v>
      </c>
      <c r="J28" s="11">
        <f t="shared" si="7"/>
        <v>1</v>
      </c>
      <c r="K28" s="11">
        <f t="shared" si="7"/>
        <v>-0.2</v>
      </c>
      <c r="L28" s="13">
        <f t="shared" si="7"/>
        <v>20</v>
      </c>
      <c r="M28" s="14">
        <f>L28/D28</f>
        <v>40</v>
      </c>
    </row>
    <row r="29" spans="2:13" x14ac:dyDescent="0.2">
      <c r="B29" s="4" t="s">
        <v>5</v>
      </c>
      <c r="C29" s="5">
        <f t="shared" ref="C29:D29" si="8">C21-$E$21*C22</f>
        <v>0</v>
      </c>
      <c r="D29" s="11">
        <f t="shared" si="8"/>
        <v>1</v>
      </c>
      <c r="E29" s="5">
        <f>E21-$E$21*E22</f>
        <v>0</v>
      </c>
      <c r="F29" s="5">
        <f t="shared" ref="F29:M29" si="9">F21-$E$21*F22</f>
        <v>0</v>
      </c>
      <c r="G29" s="5">
        <f t="shared" si="9"/>
        <v>1</v>
      </c>
      <c r="H29" s="5">
        <f t="shared" si="9"/>
        <v>-1.5</v>
      </c>
      <c r="I29" s="5">
        <f t="shared" si="9"/>
        <v>0</v>
      </c>
      <c r="J29" s="5">
        <f t="shared" si="9"/>
        <v>0</v>
      </c>
      <c r="K29" s="5">
        <f t="shared" si="9"/>
        <v>1.5</v>
      </c>
      <c r="L29" s="6">
        <f t="shared" si="9"/>
        <v>0</v>
      </c>
      <c r="M29">
        <f t="shared" ref="M29:M31" si="10">L29/D29</f>
        <v>0</v>
      </c>
    </row>
    <row r="30" spans="2:13" x14ac:dyDescent="0.2">
      <c r="B30" s="4" t="s">
        <v>3</v>
      </c>
      <c r="C30" s="5">
        <v>0</v>
      </c>
      <c r="D30" s="11">
        <v>0</v>
      </c>
      <c r="E30" s="5">
        <v>1</v>
      </c>
      <c r="F30" s="5">
        <v>0</v>
      </c>
      <c r="G30" s="5">
        <v>0</v>
      </c>
      <c r="H30" s="5">
        <v>-1</v>
      </c>
      <c r="I30" s="5">
        <v>0</v>
      </c>
      <c r="J30" s="5">
        <v>0</v>
      </c>
      <c r="K30" s="5">
        <v>1</v>
      </c>
      <c r="L30" s="6">
        <v>0</v>
      </c>
      <c r="M30" t="e">
        <f t="shared" si="10"/>
        <v>#DIV/0!</v>
      </c>
    </row>
    <row r="31" spans="2:13" ht="17" thickBot="1" x14ac:dyDescent="0.25">
      <c r="B31" s="7" t="s">
        <v>7</v>
      </c>
      <c r="C31" s="8">
        <f t="shared" ref="C31:D31" si="11">C23-$E$23*C22</f>
        <v>0</v>
      </c>
      <c r="D31" s="15">
        <f t="shared" si="11"/>
        <v>1</v>
      </c>
      <c r="E31" s="8">
        <f>E23-$E$23*E22</f>
        <v>0</v>
      </c>
      <c r="F31" s="8">
        <f t="shared" ref="F31:M31" si="12">F23-$E$23*F22</f>
        <v>0</v>
      </c>
      <c r="G31" s="8">
        <f t="shared" si="12"/>
        <v>0</v>
      </c>
      <c r="H31" s="8">
        <f t="shared" si="12"/>
        <v>1</v>
      </c>
      <c r="I31" s="8">
        <f t="shared" si="12"/>
        <v>1</v>
      </c>
      <c r="J31" s="8">
        <f t="shared" si="12"/>
        <v>0</v>
      </c>
      <c r="K31" s="8">
        <f t="shared" si="12"/>
        <v>-1</v>
      </c>
      <c r="L31" s="9">
        <f t="shared" si="12"/>
        <v>100</v>
      </c>
      <c r="M31">
        <f t="shared" si="10"/>
        <v>100</v>
      </c>
    </row>
    <row r="33" spans="2:13" ht="17" thickBot="1" x14ac:dyDescent="0.25"/>
    <row r="34" spans="2:13" x14ac:dyDescent="0.2">
      <c r="B34" s="1" t="s">
        <v>0</v>
      </c>
      <c r="C34" s="2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10" t="s">
        <v>6</v>
      </c>
      <c r="I34" s="2" t="s">
        <v>7</v>
      </c>
      <c r="J34" s="2" t="s">
        <v>8</v>
      </c>
      <c r="K34" s="2" t="s">
        <v>9</v>
      </c>
      <c r="L34" s="3" t="s">
        <v>10</v>
      </c>
    </row>
    <row r="35" spans="2:13" x14ac:dyDescent="0.2">
      <c r="B35" s="4" t="s">
        <v>1</v>
      </c>
      <c r="C35" s="5">
        <f t="shared" ref="C35:L35" si="13">C27-$D$27*C36</f>
        <v>1</v>
      </c>
      <c r="D35" s="5">
        <f>D27-$D$27*D36</f>
        <v>0</v>
      </c>
      <c r="E35" s="5">
        <f t="shared" si="13"/>
        <v>0</v>
      </c>
      <c r="F35" s="5">
        <f t="shared" si="13"/>
        <v>-2</v>
      </c>
      <c r="G35" s="5">
        <f t="shared" si="13"/>
        <v>0</v>
      </c>
      <c r="H35" s="11">
        <f t="shared" si="13"/>
        <v>-0.60000000000013642</v>
      </c>
      <c r="I35" s="5">
        <f t="shared" si="13"/>
        <v>0</v>
      </c>
      <c r="J35" s="5">
        <f t="shared" si="13"/>
        <v>-9998</v>
      </c>
      <c r="K35" s="5">
        <f t="shared" si="13"/>
        <v>-9999.4</v>
      </c>
      <c r="L35" s="6">
        <f t="shared" si="13"/>
        <v>40</v>
      </c>
    </row>
    <row r="36" spans="2:13" x14ac:dyDescent="0.2">
      <c r="B36" s="4" t="s">
        <v>2</v>
      </c>
      <c r="C36" s="5">
        <f>C28/$D$28</f>
        <v>0</v>
      </c>
      <c r="D36" s="5">
        <f>D28/$D$28</f>
        <v>1</v>
      </c>
      <c r="E36" s="5">
        <f t="shared" ref="E36:K36" si="14">E28/$D$28</f>
        <v>0</v>
      </c>
      <c r="F36" s="5">
        <f t="shared" si="14"/>
        <v>-2</v>
      </c>
      <c r="G36" s="5">
        <f t="shared" si="14"/>
        <v>0</v>
      </c>
      <c r="H36" s="11">
        <f t="shared" si="14"/>
        <v>0.4</v>
      </c>
      <c r="I36" s="5">
        <f t="shared" si="14"/>
        <v>0</v>
      </c>
      <c r="J36" s="5">
        <f t="shared" si="14"/>
        <v>2</v>
      </c>
      <c r="K36" s="5">
        <f t="shared" si="14"/>
        <v>-0.4</v>
      </c>
      <c r="L36" s="6">
        <f>L28/$D$28</f>
        <v>40</v>
      </c>
      <c r="M36">
        <f>L36/H36</f>
        <v>100</v>
      </c>
    </row>
    <row r="37" spans="2:13" x14ac:dyDescent="0.2">
      <c r="B37" s="12" t="s">
        <v>5</v>
      </c>
      <c r="C37" s="11">
        <f t="shared" ref="C37:L37" si="15">C29-$D$29*C36</f>
        <v>0</v>
      </c>
      <c r="D37" s="11">
        <f>D29-$D$29*D36</f>
        <v>0</v>
      </c>
      <c r="E37" s="11">
        <f t="shared" si="15"/>
        <v>0</v>
      </c>
      <c r="F37" s="11">
        <f t="shared" si="15"/>
        <v>2</v>
      </c>
      <c r="G37" s="11">
        <f t="shared" si="15"/>
        <v>1</v>
      </c>
      <c r="H37" s="11">
        <f t="shared" si="15"/>
        <v>-1.9</v>
      </c>
      <c r="I37" s="11">
        <f t="shared" si="15"/>
        <v>0</v>
      </c>
      <c r="J37" s="11">
        <f t="shared" si="15"/>
        <v>-2</v>
      </c>
      <c r="K37" s="11">
        <f t="shared" si="15"/>
        <v>1.9</v>
      </c>
      <c r="L37" s="13">
        <f t="shared" si="15"/>
        <v>-40</v>
      </c>
      <c r="M37" s="14">
        <f t="shared" ref="M37:M39" si="16">L37/H37</f>
        <v>21.05263157894737</v>
      </c>
    </row>
    <row r="38" spans="2:13" x14ac:dyDescent="0.2">
      <c r="B38" s="4" t="s">
        <v>3</v>
      </c>
      <c r="C38" s="5">
        <f t="shared" ref="C38:L38" si="17">C30-$D$30*C36</f>
        <v>0</v>
      </c>
      <c r="D38" s="5">
        <f>D30-$D$30*D36</f>
        <v>0</v>
      </c>
      <c r="E38" s="5">
        <f t="shared" si="17"/>
        <v>1</v>
      </c>
      <c r="F38" s="5">
        <f t="shared" si="17"/>
        <v>0</v>
      </c>
      <c r="G38" s="5">
        <f t="shared" si="17"/>
        <v>0</v>
      </c>
      <c r="H38" s="11">
        <f t="shared" si="17"/>
        <v>-1</v>
      </c>
      <c r="I38" s="5">
        <f t="shared" si="17"/>
        <v>0</v>
      </c>
      <c r="J38" s="5">
        <f t="shared" si="17"/>
        <v>0</v>
      </c>
      <c r="K38" s="5">
        <f t="shared" si="17"/>
        <v>1</v>
      </c>
      <c r="L38" s="6">
        <f t="shared" si="17"/>
        <v>0</v>
      </c>
      <c r="M38">
        <f t="shared" si="16"/>
        <v>0</v>
      </c>
    </row>
    <row r="39" spans="2:13" ht="17" thickBot="1" x14ac:dyDescent="0.25">
      <c r="B39" s="7" t="s">
        <v>7</v>
      </c>
      <c r="C39" s="8">
        <f t="shared" ref="C39:L39" si="18">C31-$D$31*C36</f>
        <v>0</v>
      </c>
      <c r="D39" s="8">
        <f>D31-$D$31*D36</f>
        <v>0</v>
      </c>
      <c r="E39" s="8">
        <f t="shared" si="18"/>
        <v>0</v>
      </c>
      <c r="F39" s="8">
        <f t="shared" si="18"/>
        <v>2</v>
      </c>
      <c r="G39" s="8">
        <f t="shared" si="18"/>
        <v>0</v>
      </c>
      <c r="H39" s="15">
        <f t="shared" si="18"/>
        <v>0.6</v>
      </c>
      <c r="I39" s="8">
        <f t="shared" si="18"/>
        <v>1</v>
      </c>
      <c r="J39" s="8">
        <f t="shared" si="18"/>
        <v>-2</v>
      </c>
      <c r="K39" s="8">
        <f t="shared" si="18"/>
        <v>-0.6</v>
      </c>
      <c r="L39" s="9">
        <f t="shared" si="18"/>
        <v>60</v>
      </c>
      <c r="M39">
        <f t="shared" si="16"/>
        <v>100</v>
      </c>
    </row>
    <row r="41" spans="2:13" ht="17" thickBot="1" x14ac:dyDescent="0.25"/>
    <row r="42" spans="2:13" x14ac:dyDescent="0.2">
      <c r="B42" s="1" t="s">
        <v>0</v>
      </c>
      <c r="C42" s="2" t="s">
        <v>1</v>
      </c>
      <c r="D42" s="2" t="s">
        <v>2</v>
      </c>
      <c r="E42" s="2" t="s">
        <v>3</v>
      </c>
      <c r="F42" s="2" t="s">
        <v>4</v>
      </c>
      <c r="G42" s="2" t="s">
        <v>5</v>
      </c>
      <c r="H42" s="2" t="s">
        <v>6</v>
      </c>
      <c r="I42" s="2" t="s">
        <v>7</v>
      </c>
      <c r="J42" s="2" t="s">
        <v>8</v>
      </c>
      <c r="K42" s="2" t="s">
        <v>9</v>
      </c>
      <c r="L42" s="3" t="s">
        <v>10</v>
      </c>
    </row>
    <row r="43" spans="2:13" x14ac:dyDescent="0.2">
      <c r="B43" s="4" t="s">
        <v>1</v>
      </c>
      <c r="C43" s="5">
        <f>C35-$H$35*C45</f>
        <v>1</v>
      </c>
      <c r="D43" s="5">
        <f t="shared" ref="D43:G43" si="19">D35-$H$35*D45</f>
        <v>0</v>
      </c>
      <c r="E43" s="5">
        <f t="shared" si="19"/>
        <v>0</v>
      </c>
      <c r="F43" s="5">
        <f t="shared" si="19"/>
        <v>-2.6315789473685647</v>
      </c>
      <c r="G43" s="5">
        <f t="shared" si="19"/>
        <v>-0.31578947368428228</v>
      </c>
      <c r="H43" s="5">
        <f>H35-$H$35*H45</f>
        <v>0</v>
      </c>
      <c r="I43" s="5">
        <f t="shared" ref="I43:L43" si="20">I35-$H$35*I45</f>
        <v>0</v>
      </c>
      <c r="J43" s="5">
        <f t="shared" si="20"/>
        <v>-9997.3684210526317</v>
      </c>
      <c r="K43" s="5">
        <f t="shared" si="20"/>
        <v>-10000</v>
      </c>
      <c r="L43" s="16">
        <f t="shared" si="20"/>
        <v>52.631578947371295</v>
      </c>
    </row>
    <row r="44" spans="2:13" x14ac:dyDescent="0.2">
      <c r="B44" s="4" t="s">
        <v>2</v>
      </c>
      <c r="C44" s="5">
        <f t="shared" ref="C44:L44" si="21">C36-$H$36*C45</f>
        <v>0</v>
      </c>
      <c r="D44" s="5">
        <f t="shared" si="21"/>
        <v>1</v>
      </c>
      <c r="E44" s="5">
        <f t="shared" si="21"/>
        <v>0</v>
      </c>
      <c r="F44" s="5">
        <f t="shared" si="21"/>
        <v>-1.5789473684210527</v>
      </c>
      <c r="G44" s="5">
        <f t="shared" si="21"/>
        <v>0.21052631578947367</v>
      </c>
      <c r="H44" s="5">
        <f t="shared" si="21"/>
        <v>0</v>
      </c>
      <c r="I44" s="5">
        <f t="shared" si="21"/>
        <v>0</v>
      </c>
      <c r="J44" s="5">
        <f t="shared" si="21"/>
        <v>1.5789473684210527</v>
      </c>
      <c r="K44" s="5">
        <f t="shared" si="21"/>
        <v>0</v>
      </c>
      <c r="L44" s="6">
        <f t="shared" si="21"/>
        <v>31.578947368421051</v>
      </c>
    </row>
    <row r="45" spans="2:13" x14ac:dyDescent="0.2">
      <c r="B45" s="4" t="s">
        <v>6</v>
      </c>
      <c r="C45" s="5">
        <f>C37/$H$37</f>
        <v>0</v>
      </c>
      <c r="D45" s="5">
        <f t="shared" ref="D45:G45" si="22">D37/$H$37</f>
        <v>0</v>
      </c>
      <c r="E45" s="5">
        <f t="shared" si="22"/>
        <v>0</v>
      </c>
      <c r="F45" s="5">
        <f t="shared" si="22"/>
        <v>-1.0526315789473684</v>
      </c>
      <c r="G45" s="5">
        <f t="shared" si="22"/>
        <v>-0.52631578947368418</v>
      </c>
      <c r="H45" s="5">
        <f>H37/$H$37</f>
        <v>1</v>
      </c>
      <c r="I45" s="5">
        <f t="shared" ref="I45:L45" si="23">I37/$H$37</f>
        <v>0</v>
      </c>
      <c r="J45" s="5">
        <f t="shared" si="23"/>
        <v>1.0526315789473684</v>
      </c>
      <c r="K45" s="5">
        <f t="shared" si="23"/>
        <v>-1</v>
      </c>
      <c r="L45" s="6">
        <f t="shared" si="23"/>
        <v>21.05263157894737</v>
      </c>
    </row>
    <row r="46" spans="2:13" x14ac:dyDescent="0.2">
      <c r="B46" s="4" t="s">
        <v>3</v>
      </c>
      <c r="C46" s="5">
        <f>C38-$H$38*C45</f>
        <v>0</v>
      </c>
      <c r="D46" s="5">
        <f t="shared" ref="D46:G46" si="24">D38-$H$38*D45</f>
        <v>0</v>
      </c>
      <c r="E46" s="5">
        <f t="shared" si="24"/>
        <v>1</v>
      </c>
      <c r="F46" s="5">
        <f t="shared" si="24"/>
        <v>-1.0526315789473684</v>
      </c>
      <c r="G46" s="5">
        <f t="shared" si="24"/>
        <v>-0.52631578947368418</v>
      </c>
      <c r="H46" s="5">
        <f>H38-$H$38*H45</f>
        <v>0</v>
      </c>
      <c r="I46" s="5">
        <f t="shared" ref="I46:L46" si="25">I38-$H$38*I45</f>
        <v>0</v>
      </c>
      <c r="J46" s="5">
        <f t="shared" si="25"/>
        <v>1.0526315789473684</v>
      </c>
      <c r="K46" s="5">
        <f t="shared" si="25"/>
        <v>0</v>
      </c>
      <c r="L46" s="6">
        <f t="shared" si="25"/>
        <v>21.05263157894737</v>
      </c>
    </row>
    <row r="47" spans="2:13" ht="17" thickBot="1" x14ac:dyDescent="0.25">
      <c r="B47" s="7" t="s">
        <v>7</v>
      </c>
      <c r="C47" s="8">
        <f>C39-$H$39*C45</f>
        <v>0</v>
      </c>
      <c r="D47" s="8">
        <f t="shared" ref="D47:G47" si="26">D39-$H$39*D45</f>
        <v>0</v>
      </c>
      <c r="E47" s="8">
        <f t="shared" si="26"/>
        <v>0</v>
      </c>
      <c r="F47" s="8">
        <f t="shared" si="26"/>
        <v>2.6315789473684212</v>
      </c>
      <c r="G47" s="8">
        <f t="shared" si="26"/>
        <v>0.31578947368421051</v>
      </c>
      <c r="H47" s="8">
        <f>H39-$H$39*H45</f>
        <v>0</v>
      </c>
      <c r="I47" s="8">
        <f t="shared" ref="I47:L47" si="27">I39-$H$39*I45</f>
        <v>1</v>
      </c>
      <c r="J47" s="8">
        <f t="shared" si="27"/>
        <v>-2.6315789473684212</v>
      </c>
      <c r="K47" s="8">
        <f t="shared" si="27"/>
        <v>0</v>
      </c>
      <c r="L47" s="9">
        <f t="shared" si="27"/>
        <v>47.368421052631575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Mejia Gonzalez, Juan</dc:creator>
  <cp:lastModifiedBy>Mejia Gonzalez, Juan</cp:lastModifiedBy>
  <dcterms:created xsi:type="dcterms:W3CDTF">2024-09-20T07:08:00Z</dcterms:created>
  <dcterms:modified xsi:type="dcterms:W3CDTF">2024-09-20T07:08:39Z</dcterms:modified>
</cp:coreProperties>
</file>